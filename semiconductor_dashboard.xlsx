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120" firstSheet="2" activeTab="1"/>
  </bookViews>
  <sheets>
    <sheet name="OBJECTIVE" sheetId="1" r:id="rId1"/>
    <sheet name="Dashboard" sheetId="9" r:id="rId2"/>
    <sheet name="RAW_AI" sheetId="10" state="hidden" r:id="rId3"/>
    <sheet name="RAW_Fin" sheetId="3" state="hidden" r:id="rId4"/>
    <sheet name="RAW_Price" sheetId="4" state="hidden" r:id="rId5"/>
    <sheet name="RAW_Export" sheetId="5" state="hidden" r:id="rId6"/>
    <sheet name="RAW_Fab" sheetId="6" state="hidden" r:id="rId7"/>
    <sheet name="CALC" sheetId="7" r:id="rId8"/>
    <sheet name="Charts" sheetId="8" r:id="rId9"/>
  </sheets>
  <definedNames>
    <definedName name="Slicer_Admin_Era">#N/A</definedName>
    <definedName name="Slicer_Company_name">#N/A</definedName>
    <definedName name="Slicer_Node_Category">#N/A</definedName>
    <definedName name="Slicer_Year">#N/A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4" i="7"/>
  <c r="B3" i="7"/>
  <c r="B2" i="7"/>
  <c r="I314" i="6"/>
  <c r="H314" i="6"/>
  <c r="I313" i="6"/>
  <c r="H313" i="6"/>
  <c r="I312" i="6"/>
  <c r="H312" i="6"/>
  <c r="I311" i="6"/>
  <c r="H311" i="6"/>
  <c r="I310" i="6"/>
  <c r="H310" i="6"/>
  <c r="I309" i="6"/>
  <c r="H309" i="6"/>
  <c r="I308" i="6"/>
  <c r="H308" i="6"/>
  <c r="I307" i="6"/>
  <c r="H307" i="6"/>
  <c r="I306" i="6"/>
  <c r="H306" i="6"/>
  <c r="I305" i="6"/>
  <c r="H305" i="6"/>
  <c r="I304" i="6"/>
  <c r="H304" i="6"/>
  <c r="I303" i="6"/>
  <c r="H303" i="6"/>
  <c r="I302" i="6"/>
  <c r="H302" i="6"/>
  <c r="I301" i="6"/>
  <c r="H301" i="6"/>
  <c r="I300" i="6"/>
  <c r="H300" i="6"/>
  <c r="I299" i="6"/>
  <c r="H299" i="6"/>
  <c r="I298" i="6"/>
  <c r="H298" i="6"/>
  <c r="I297" i="6"/>
  <c r="H297" i="6"/>
  <c r="I296" i="6"/>
  <c r="H296" i="6"/>
  <c r="I295" i="6"/>
  <c r="H295" i="6"/>
  <c r="I294" i="6"/>
  <c r="H294" i="6"/>
  <c r="I293" i="6"/>
  <c r="H293" i="6"/>
  <c r="I292" i="6"/>
  <c r="H292" i="6"/>
  <c r="I291" i="6"/>
  <c r="H291" i="6"/>
  <c r="I290" i="6"/>
  <c r="H290" i="6"/>
  <c r="I289" i="6"/>
  <c r="H289" i="6"/>
  <c r="I288" i="6"/>
  <c r="H288" i="6"/>
  <c r="I287" i="6"/>
  <c r="H287" i="6"/>
  <c r="I286" i="6"/>
  <c r="H286" i="6"/>
  <c r="I285" i="6"/>
  <c r="H285" i="6"/>
  <c r="I284" i="6"/>
  <c r="H284" i="6"/>
  <c r="I283" i="6"/>
  <c r="H283" i="6"/>
  <c r="I282" i="6"/>
  <c r="H282" i="6"/>
  <c r="I281" i="6"/>
  <c r="H281" i="6"/>
  <c r="I280" i="6"/>
  <c r="H280" i="6"/>
  <c r="I279" i="6"/>
  <c r="H279" i="6"/>
  <c r="I278" i="6"/>
  <c r="H278" i="6"/>
  <c r="I277" i="6"/>
  <c r="H277" i="6"/>
  <c r="I276" i="6"/>
  <c r="H276" i="6"/>
  <c r="I275" i="6"/>
  <c r="H275" i="6"/>
  <c r="I274" i="6"/>
  <c r="H274" i="6"/>
  <c r="I273" i="6"/>
  <c r="H273" i="6"/>
  <c r="I272" i="6"/>
  <c r="H272" i="6"/>
  <c r="I271" i="6"/>
  <c r="H271" i="6"/>
  <c r="I270" i="6"/>
  <c r="H270" i="6"/>
  <c r="I269" i="6"/>
  <c r="H269" i="6"/>
  <c r="I268" i="6"/>
  <c r="H268" i="6"/>
  <c r="I267" i="6"/>
  <c r="H267" i="6"/>
  <c r="I266" i="6"/>
  <c r="H266" i="6"/>
  <c r="I265" i="6"/>
  <c r="H265" i="6"/>
  <c r="I264" i="6"/>
  <c r="H264" i="6"/>
  <c r="I263" i="6"/>
  <c r="H263" i="6"/>
  <c r="I262" i="6"/>
  <c r="H262" i="6"/>
  <c r="I261" i="6"/>
  <c r="H261" i="6"/>
  <c r="I260" i="6"/>
  <c r="H260" i="6"/>
  <c r="I259" i="6"/>
  <c r="H259" i="6"/>
  <c r="I258" i="6"/>
  <c r="H258" i="6"/>
  <c r="I257" i="6"/>
  <c r="H257" i="6"/>
  <c r="I256" i="6"/>
  <c r="H256" i="6"/>
  <c r="I255" i="6"/>
  <c r="H255" i="6"/>
  <c r="I254" i="6"/>
  <c r="H254" i="6"/>
  <c r="I253" i="6"/>
  <c r="H253" i="6"/>
  <c r="I252" i="6"/>
  <c r="H252" i="6"/>
  <c r="I251" i="6"/>
  <c r="H251" i="6"/>
  <c r="I250" i="6"/>
  <c r="H250" i="6"/>
  <c r="I249" i="6"/>
  <c r="H249" i="6"/>
  <c r="I248" i="6"/>
  <c r="H248" i="6"/>
  <c r="I247" i="6"/>
  <c r="H247" i="6"/>
  <c r="I246" i="6"/>
  <c r="H246" i="6"/>
  <c r="I245" i="6"/>
  <c r="H245" i="6"/>
  <c r="I244" i="6"/>
  <c r="H244" i="6"/>
  <c r="I243" i="6"/>
  <c r="H243" i="6"/>
  <c r="I242" i="6"/>
  <c r="H242" i="6"/>
  <c r="I241" i="6"/>
  <c r="H241" i="6"/>
  <c r="I240" i="6"/>
  <c r="H240" i="6"/>
  <c r="I239" i="6"/>
  <c r="H239" i="6"/>
  <c r="I238" i="6"/>
  <c r="H238" i="6"/>
  <c r="I237" i="6"/>
  <c r="H237" i="6"/>
  <c r="I236" i="6"/>
  <c r="H236" i="6"/>
  <c r="I235" i="6"/>
  <c r="H235" i="6"/>
  <c r="I234" i="6"/>
  <c r="H234" i="6"/>
  <c r="I233" i="6"/>
  <c r="H233" i="6"/>
  <c r="I232" i="6"/>
  <c r="H232" i="6"/>
  <c r="I231" i="6"/>
  <c r="H231" i="6"/>
  <c r="I230" i="6"/>
  <c r="H230" i="6"/>
  <c r="I229" i="6"/>
  <c r="H229" i="6"/>
  <c r="I228" i="6"/>
  <c r="H228" i="6"/>
  <c r="I227" i="6"/>
  <c r="H227" i="6"/>
  <c r="I226" i="6"/>
  <c r="H226" i="6"/>
  <c r="I225" i="6"/>
  <c r="H225" i="6"/>
  <c r="I224" i="6"/>
  <c r="H224" i="6"/>
  <c r="I223" i="6"/>
  <c r="H223" i="6"/>
  <c r="I222" i="6"/>
  <c r="H222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3" i="6"/>
  <c r="H213" i="6"/>
  <c r="I212" i="6"/>
  <c r="H212" i="6"/>
  <c r="I211" i="6"/>
  <c r="H211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3" i="6"/>
  <c r="H203" i="6"/>
  <c r="I202" i="6"/>
  <c r="H202" i="6"/>
  <c r="I201" i="6"/>
  <c r="H201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9" i="6"/>
  <c r="H179" i="6"/>
  <c r="I178" i="6"/>
  <c r="H178" i="6"/>
  <c r="I177" i="6"/>
  <c r="H177" i="6"/>
  <c r="I176" i="6"/>
  <c r="H176" i="6"/>
  <c r="I175" i="6"/>
  <c r="H175" i="6"/>
  <c r="I174" i="6"/>
  <c r="H174" i="6"/>
  <c r="I173" i="6"/>
  <c r="H173" i="6"/>
  <c r="I172" i="6"/>
  <c r="H172" i="6"/>
  <c r="I171" i="6"/>
  <c r="H171" i="6"/>
  <c r="I170" i="6"/>
  <c r="H170" i="6"/>
  <c r="I169" i="6"/>
  <c r="H169" i="6"/>
  <c r="I168" i="6"/>
  <c r="H168" i="6"/>
  <c r="I167" i="6"/>
  <c r="H167" i="6"/>
  <c r="I166" i="6"/>
  <c r="H166" i="6"/>
  <c r="I165" i="6"/>
  <c r="H165" i="6"/>
  <c r="I164" i="6"/>
  <c r="H164" i="6"/>
  <c r="I163" i="6"/>
  <c r="H163" i="6"/>
  <c r="I162" i="6"/>
  <c r="H162" i="6"/>
  <c r="I161" i="6"/>
  <c r="H161" i="6"/>
  <c r="I160" i="6"/>
  <c r="H160" i="6"/>
  <c r="I159" i="6"/>
  <c r="H159" i="6"/>
  <c r="I158" i="6"/>
  <c r="H158" i="6"/>
  <c r="I157" i="6"/>
  <c r="H157" i="6"/>
  <c r="I156" i="6"/>
  <c r="H156" i="6"/>
  <c r="I155" i="6"/>
  <c r="H155" i="6"/>
  <c r="I154" i="6"/>
  <c r="H154" i="6"/>
  <c r="I153" i="6"/>
  <c r="H153" i="6"/>
  <c r="I152" i="6"/>
  <c r="H152" i="6"/>
  <c r="I151" i="6"/>
  <c r="H151" i="6"/>
  <c r="I150" i="6"/>
  <c r="H150" i="6"/>
  <c r="I149" i="6"/>
  <c r="H149" i="6"/>
  <c r="I148" i="6"/>
  <c r="H148" i="6"/>
  <c r="I147" i="6"/>
  <c r="H147" i="6"/>
  <c r="I146" i="6"/>
  <c r="H146" i="6"/>
  <c r="I145" i="6"/>
  <c r="H145" i="6"/>
  <c r="I144" i="6"/>
  <c r="H144" i="6"/>
  <c r="I143" i="6"/>
  <c r="H143" i="6"/>
  <c r="I142" i="6"/>
  <c r="H142" i="6"/>
  <c r="I141" i="6"/>
  <c r="H141" i="6"/>
  <c r="I140" i="6"/>
  <c r="H140" i="6"/>
  <c r="I139" i="6"/>
  <c r="H139" i="6"/>
  <c r="I138" i="6"/>
  <c r="H138" i="6"/>
  <c r="I137" i="6"/>
  <c r="H137" i="6"/>
  <c r="I136" i="6"/>
  <c r="H136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  <c r="Q35" i="5"/>
  <c r="P35" i="5"/>
  <c r="Q34" i="5"/>
  <c r="P34" i="5"/>
  <c r="Q33" i="5"/>
  <c r="P33" i="5"/>
  <c r="Q32" i="5"/>
  <c r="P32" i="5"/>
  <c r="Q31" i="5"/>
  <c r="P31" i="5"/>
  <c r="Q30" i="5"/>
  <c r="P30" i="5"/>
  <c r="Q29" i="5"/>
  <c r="P29" i="5"/>
  <c r="Q28" i="5"/>
  <c r="P28" i="5"/>
  <c r="Q27" i="5"/>
  <c r="P27" i="5"/>
  <c r="Q26" i="5"/>
  <c r="P26" i="5"/>
  <c r="Q25" i="5"/>
  <c r="P25" i="5"/>
  <c r="Q24" i="5"/>
  <c r="P24" i="5"/>
  <c r="Q23" i="5"/>
  <c r="P23" i="5"/>
  <c r="Q22" i="5"/>
  <c r="P22" i="5"/>
  <c r="Q21" i="5"/>
  <c r="P21" i="5"/>
  <c r="Q20" i="5"/>
  <c r="P20" i="5"/>
  <c r="Q19" i="5"/>
  <c r="P19" i="5"/>
  <c r="Q18" i="5"/>
  <c r="P18" i="5"/>
  <c r="Q17" i="5"/>
  <c r="P17" i="5"/>
  <c r="Q16" i="5"/>
  <c r="P16" i="5"/>
  <c r="Q15" i="5"/>
  <c r="P15" i="5"/>
  <c r="Q14" i="5"/>
  <c r="P14" i="5"/>
  <c r="Q13" i="5"/>
  <c r="P13" i="5"/>
  <c r="Q12" i="5"/>
  <c r="P12" i="5"/>
  <c r="Q11" i="5"/>
  <c r="P11" i="5"/>
  <c r="Q10" i="5"/>
  <c r="P10" i="5"/>
  <c r="Q9" i="5"/>
  <c r="P9" i="5"/>
  <c r="Q8" i="5"/>
  <c r="P8" i="5"/>
  <c r="Q7" i="5"/>
  <c r="P7" i="5"/>
  <c r="Q6" i="5"/>
  <c r="P6" i="5"/>
  <c r="Q5" i="5"/>
  <c r="P5" i="5"/>
  <c r="Q4" i="5"/>
  <c r="P4" i="5"/>
  <c r="Q3" i="5"/>
  <c r="P3" i="5"/>
  <c r="Q2" i="5"/>
  <c r="P2" i="5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N618" i="3"/>
  <c r="M618" i="3"/>
  <c r="L618" i="3"/>
  <c r="K618" i="3"/>
  <c r="N617" i="3"/>
  <c r="M617" i="3"/>
  <c r="L617" i="3"/>
  <c r="K617" i="3"/>
  <c r="N616" i="3"/>
  <c r="M616" i="3"/>
  <c r="L616" i="3"/>
  <c r="K616" i="3"/>
  <c r="N615" i="3"/>
  <c r="M615" i="3"/>
  <c r="L615" i="3"/>
  <c r="K615" i="3"/>
  <c r="N614" i="3"/>
  <c r="M614" i="3"/>
  <c r="L614" i="3"/>
  <c r="K614" i="3"/>
  <c r="N613" i="3"/>
  <c r="M613" i="3"/>
  <c r="L613" i="3"/>
  <c r="K613" i="3"/>
  <c r="N612" i="3"/>
  <c r="M612" i="3"/>
  <c r="L612" i="3"/>
  <c r="K612" i="3"/>
  <c r="N611" i="3"/>
  <c r="M611" i="3"/>
  <c r="L611" i="3"/>
  <c r="K611" i="3"/>
  <c r="N610" i="3"/>
  <c r="M610" i="3"/>
  <c r="L610" i="3"/>
  <c r="K610" i="3"/>
  <c r="N609" i="3"/>
  <c r="M609" i="3"/>
  <c r="L609" i="3"/>
  <c r="K609" i="3"/>
  <c r="N608" i="3"/>
  <c r="M608" i="3"/>
  <c r="L608" i="3"/>
  <c r="K608" i="3"/>
  <c r="N607" i="3"/>
  <c r="M607" i="3"/>
  <c r="L607" i="3"/>
  <c r="K607" i="3"/>
  <c r="N606" i="3"/>
  <c r="M606" i="3"/>
  <c r="L606" i="3"/>
  <c r="K606" i="3"/>
  <c r="N605" i="3"/>
  <c r="M605" i="3"/>
  <c r="L605" i="3"/>
  <c r="K605" i="3"/>
  <c r="N604" i="3"/>
  <c r="M604" i="3"/>
  <c r="L604" i="3"/>
  <c r="K604" i="3"/>
  <c r="N603" i="3"/>
  <c r="M603" i="3"/>
  <c r="L603" i="3"/>
  <c r="K603" i="3"/>
  <c r="N602" i="3"/>
  <c r="M602" i="3"/>
  <c r="L602" i="3"/>
  <c r="K602" i="3"/>
  <c r="N601" i="3"/>
  <c r="M601" i="3"/>
  <c r="L601" i="3"/>
  <c r="K601" i="3"/>
  <c r="N600" i="3"/>
  <c r="M600" i="3"/>
  <c r="L600" i="3"/>
  <c r="K600" i="3"/>
  <c r="N599" i="3"/>
  <c r="M599" i="3"/>
  <c r="L599" i="3"/>
  <c r="K599" i="3"/>
  <c r="N598" i="3"/>
  <c r="M598" i="3"/>
  <c r="L598" i="3"/>
  <c r="K598" i="3"/>
  <c r="N597" i="3"/>
  <c r="M597" i="3"/>
  <c r="L597" i="3"/>
  <c r="K597" i="3"/>
  <c r="N596" i="3"/>
  <c r="M596" i="3"/>
  <c r="L596" i="3"/>
  <c r="K596" i="3"/>
  <c r="N595" i="3"/>
  <c r="M595" i="3"/>
  <c r="L595" i="3"/>
  <c r="K595" i="3"/>
  <c r="N594" i="3"/>
  <c r="M594" i="3"/>
  <c r="L594" i="3"/>
  <c r="K594" i="3"/>
  <c r="N593" i="3"/>
  <c r="M593" i="3"/>
  <c r="L593" i="3"/>
  <c r="K593" i="3"/>
  <c r="N592" i="3"/>
  <c r="M592" i="3"/>
  <c r="L592" i="3"/>
  <c r="K592" i="3"/>
  <c r="N591" i="3"/>
  <c r="M591" i="3"/>
  <c r="L591" i="3"/>
  <c r="K591" i="3"/>
  <c r="N590" i="3"/>
  <c r="M590" i="3"/>
  <c r="L590" i="3"/>
  <c r="K590" i="3"/>
  <c r="N589" i="3"/>
  <c r="M589" i="3"/>
  <c r="L589" i="3"/>
  <c r="K589" i="3"/>
  <c r="N588" i="3"/>
  <c r="M588" i="3"/>
  <c r="L588" i="3"/>
  <c r="K588" i="3"/>
  <c r="N587" i="3"/>
  <c r="M587" i="3"/>
  <c r="L587" i="3"/>
  <c r="K587" i="3"/>
  <c r="N586" i="3"/>
  <c r="M586" i="3"/>
  <c r="L586" i="3"/>
  <c r="K586" i="3"/>
  <c r="N585" i="3"/>
  <c r="M585" i="3"/>
  <c r="L585" i="3"/>
  <c r="K585" i="3"/>
  <c r="N584" i="3"/>
  <c r="M584" i="3"/>
  <c r="L584" i="3"/>
  <c r="K584" i="3"/>
  <c r="N583" i="3"/>
  <c r="M583" i="3"/>
  <c r="L583" i="3"/>
  <c r="K583" i="3"/>
  <c r="N582" i="3"/>
  <c r="M582" i="3"/>
  <c r="L582" i="3"/>
  <c r="K582" i="3"/>
  <c r="N581" i="3"/>
  <c r="M581" i="3"/>
  <c r="L581" i="3"/>
  <c r="K581" i="3"/>
  <c r="N580" i="3"/>
  <c r="M580" i="3"/>
  <c r="L580" i="3"/>
  <c r="K580" i="3"/>
  <c r="N579" i="3"/>
  <c r="M579" i="3"/>
  <c r="L579" i="3"/>
  <c r="K579" i="3"/>
  <c r="N578" i="3"/>
  <c r="M578" i="3"/>
  <c r="L578" i="3"/>
  <c r="K578" i="3"/>
  <c r="N577" i="3"/>
  <c r="M577" i="3"/>
  <c r="L577" i="3"/>
  <c r="K577" i="3"/>
  <c r="N576" i="3"/>
  <c r="M576" i="3"/>
  <c r="L576" i="3"/>
  <c r="K576" i="3"/>
  <c r="N575" i="3"/>
  <c r="M575" i="3"/>
  <c r="L575" i="3"/>
  <c r="K575" i="3"/>
  <c r="N574" i="3"/>
  <c r="M574" i="3"/>
  <c r="L574" i="3"/>
  <c r="K574" i="3"/>
  <c r="N573" i="3"/>
  <c r="M573" i="3"/>
  <c r="L573" i="3"/>
  <c r="K573" i="3"/>
  <c r="N572" i="3"/>
  <c r="M572" i="3"/>
  <c r="L572" i="3"/>
  <c r="K572" i="3"/>
  <c r="N571" i="3"/>
  <c r="M571" i="3"/>
  <c r="L571" i="3"/>
  <c r="K571" i="3"/>
  <c r="N570" i="3"/>
  <c r="M570" i="3"/>
  <c r="L570" i="3"/>
  <c r="K570" i="3"/>
  <c r="N569" i="3"/>
  <c r="M569" i="3"/>
  <c r="L569" i="3"/>
  <c r="K569" i="3"/>
  <c r="N568" i="3"/>
  <c r="M568" i="3"/>
  <c r="L568" i="3"/>
  <c r="K568" i="3"/>
  <c r="N567" i="3"/>
  <c r="M567" i="3"/>
  <c r="L567" i="3"/>
  <c r="K567" i="3"/>
  <c r="N566" i="3"/>
  <c r="M566" i="3"/>
  <c r="L566" i="3"/>
  <c r="K566" i="3"/>
  <c r="N565" i="3"/>
  <c r="M565" i="3"/>
  <c r="L565" i="3"/>
  <c r="K565" i="3"/>
  <c r="N564" i="3"/>
  <c r="M564" i="3"/>
  <c r="L564" i="3"/>
  <c r="K564" i="3"/>
  <c r="N563" i="3"/>
  <c r="M563" i="3"/>
  <c r="L563" i="3"/>
  <c r="K563" i="3"/>
  <c r="N562" i="3"/>
  <c r="M562" i="3"/>
  <c r="L562" i="3"/>
  <c r="K562" i="3"/>
  <c r="N561" i="3"/>
  <c r="M561" i="3"/>
  <c r="L561" i="3"/>
  <c r="K561" i="3"/>
  <c r="N560" i="3"/>
  <c r="M560" i="3"/>
  <c r="L560" i="3"/>
  <c r="K560" i="3"/>
  <c r="N559" i="3"/>
  <c r="M559" i="3"/>
  <c r="L559" i="3"/>
  <c r="K559" i="3"/>
  <c r="N558" i="3"/>
  <c r="M558" i="3"/>
  <c r="L558" i="3"/>
  <c r="K558" i="3"/>
  <c r="N557" i="3"/>
  <c r="M557" i="3"/>
  <c r="L557" i="3"/>
  <c r="K557" i="3"/>
  <c r="N556" i="3"/>
  <c r="M556" i="3"/>
  <c r="L556" i="3"/>
  <c r="K556" i="3"/>
  <c r="N555" i="3"/>
  <c r="M555" i="3"/>
  <c r="L555" i="3"/>
  <c r="K555" i="3"/>
  <c r="N554" i="3"/>
  <c r="M554" i="3"/>
  <c r="L554" i="3"/>
  <c r="K554" i="3"/>
  <c r="N553" i="3"/>
  <c r="M553" i="3"/>
  <c r="L553" i="3"/>
  <c r="K553" i="3"/>
  <c r="N552" i="3"/>
  <c r="M552" i="3"/>
  <c r="L552" i="3"/>
  <c r="K552" i="3"/>
  <c r="N551" i="3"/>
  <c r="M551" i="3"/>
  <c r="L551" i="3"/>
  <c r="K551" i="3"/>
  <c r="N550" i="3"/>
  <c r="M550" i="3"/>
  <c r="L550" i="3"/>
  <c r="K550" i="3"/>
  <c r="N549" i="3"/>
  <c r="M549" i="3"/>
  <c r="L549" i="3"/>
  <c r="K549" i="3"/>
  <c r="N548" i="3"/>
  <c r="M548" i="3"/>
  <c r="L548" i="3"/>
  <c r="K548" i="3"/>
  <c r="N547" i="3"/>
  <c r="M547" i="3"/>
  <c r="L547" i="3"/>
  <c r="K547" i="3"/>
  <c r="N546" i="3"/>
  <c r="M546" i="3"/>
  <c r="L546" i="3"/>
  <c r="K546" i="3"/>
  <c r="N545" i="3"/>
  <c r="M545" i="3"/>
  <c r="L545" i="3"/>
  <c r="K545" i="3"/>
  <c r="N544" i="3"/>
  <c r="M544" i="3"/>
  <c r="L544" i="3"/>
  <c r="K544" i="3"/>
  <c r="N543" i="3"/>
  <c r="M543" i="3"/>
  <c r="L543" i="3"/>
  <c r="K543" i="3"/>
  <c r="N542" i="3"/>
  <c r="M542" i="3"/>
  <c r="L542" i="3"/>
  <c r="K542" i="3"/>
  <c r="N541" i="3"/>
  <c r="M541" i="3"/>
  <c r="L541" i="3"/>
  <c r="K541" i="3"/>
  <c r="N540" i="3"/>
  <c r="M540" i="3"/>
  <c r="L540" i="3"/>
  <c r="K540" i="3"/>
  <c r="N539" i="3"/>
  <c r="M539" i="3"/>
  <c r="L539" i="3"/>
  <c r="K539" i="3"/>
  <c r="N538" i="3"/>
  <c r="M538" i="3"/>
  <c r="L538" i="3"/>
  <c r="K538" i="3"/>
  <c r="N537" i="3"/>
  <c r="M537" i="3"/>
  <c r="L537" i="3"/>
  <c r="K537" i="3"/>
  <c r="N536" i="3"/>
  <c r="M536" i="3"/>
  <c r="L536" i="3"/>
  <c r="K536" i="3"/>
  <c r="N535" i="3"/>
  <c r="M535" i="3"/>
  <c r="L535" i="3"/>
  <c r="K535" i="3"/>
  <c r="N534" i="3"/>
  <c r="M534" i="3"/>
  <c r="L534" i="3"/>
  <c r="K534" i="3"/>
  <c r="N533" i="3"/>
  <c r="M533" i="3"/>
  <c r="L533" i="3"/>
  <c r="K533" i="3"/>
  <c r="N532" i="3"/>
  <c r="M532" i="3"/>
  <c r="L532" i="3"/>
  <c r="K532" i="3"/>
  <c r="N531" i="3"/>
  <c r="M531" i="3"/>
  <c r="L531" i="3"/>
  <c r="K531" i="3"/>
  <c r="N530" i="3"/>
  <c r="M530" i="3"/>
  <c r="L530" i="3"/>
  <c r="K530" i="3"/>
  <c r="N529" i="3"/>
  <c r="M529" i="3"/>
  <c r="L529" i="3"/>
  <c r="K529" i="3"/>
  <c r="N528" i="3"/>
  <c r="M528" i="3"/>
  <c r="L528" i="3"/>
  <c r="K528" i="3"/>
  <c r="N527" i="3"/>
  <c r="M527" i="3"/>
  <c r="L527" i="3"/>
  <c r="K527" i="3"/>
  <c r="N526" i="3"/>
  <c r="M526" i="3"/>
  <c r="L526" i="3"/>
  <c r="K526" i="3"/>
  <c r="N525" i="3"/>
  <c r="M525" i="3"/>
  <c r="L525" i="3"/>
  <c r="K525" i="3"/>
  <c r="N524" i="3"/>
  <c r="M524" i="3"/>
  <c r="L524" i="3"/>
  <c r="K524" i="3"/>
  <c r="N523" i="3"/>
  <c r="M523" i="3"/>
  <c r="L523" i="3"/>
  <c r="K523" i="3"/>
  <c r="N522" i="3"/>
  <c r="M522" i="3"/>
  <c r="L522" i="3"/>
  <c r="K522" i="3"/>
  <c r="N521" i="3"/>
  <c r="M521" i="3"/>
  <c r="L521" i="3"/>
  <c r="K521" i="3"/>
  <c r="N520" i="3"/>
  <c r="M520" i="3"/>
  <c r="L520" i="3"/>
  <c r="K520" i="3"/>
  <c r="N519" i="3"/>
  <c r="M519" i="3"/>
  <c r="L519" i="3"/>
  <c r="K519" i="3"/>
  <c r="N518" i="3"/>
  <c r="M518" i="3"/>
  <c r="L518" i="3"/>
  <c r="K518" i="3"/>
  <c r="N517" i="3"/>
  <c r="M517" i="3"/>
  <c r="L517" i="3"/>
  <c r="K517" i="3"/>
  <c r="N516" i="3"/>
  <c r="M516" i="3"/>
  <c r="L516" i="3"/>
  <c r="K516" i="3"/>
  <c r="N515" i="3"/>
  <c r="M515" i="3"/>
  <c r="L515" i="3"/>
  <c r="K515" i="3"/>
  <c r="N514" i="3"/>
  <c r="M514" i="3"/>
  <c r="L514" i="3"/>
  <c r="K514" i="3"/>
  <c r="N513" i="3"/>
  <c r="M513" i="3"/>
  <c r="L513" i="3"/>
  <c r="K513" i="3"/>
  <c r="N512" i="3"/>
  <c r="M512" i="3"/>
  <c r="L512" i="3"/>
  <c r="K512" i="3"/>
  <c r="N511" i="3"/>
  <c r="M511" i="3"/>
  <c r="L511" i="3"/>
  <c r="K511" i="3"/>
  <c r="N510" i="3"/>
  <c r="M510" i="3"/>
  <c r="L510" i="3"/>
  <c r="K510" i="3"/>
  <c r="N509" i="3"/>
  <c r="M509" i="3"/>
  <c r="L509" i="3"/>
  <c r="K509" i="3"/>
  <c r="N508" i="3"/>
  <c r="M508" i="3"/>
  <c r="L508" i="3"/>
  <c r="K508" i="3"/>
  <c r="N507" i="3"/>
  <c r="M507" i="3"/>
  <c r="L507" i="3"/>
  <c r="K507" i="3"/>
  <c r="N506" i="3"/>
  <c r="M506" i="3"/>
  <c r="L506" i="3"/>
  <c r="K506" i="3"/>
  <c r="N505" i="3"/>
  <c r="M505" i="3"/>
  <c r="L505" i="3"/>
  <c r="K505" i="3"/>
  <c r="N504" i="3"/>
  <c r="M504" i="3"/>
  <c r="L504" i="3"/>
  <c r="K504" i="3"/>
  <c r="N503" i="3"/>
  <c r="M503" i="3"/>
  <c r="L503" i="3"/>
  <c r="K503" i="3"/>
  <c r="N502" i="3"/>
  <c r="M502" i="3"/>
  <c r="L502" i="3"/>
  <c r="K502" i="3"/>
  <c r="N501" i="3"/>
  <c r="M501" i="3"/>
  <c r="L501" i="3"/>
  <c r="K501" i="3"/>
  <c r="N500" i="3"/>
  <c r="M500" i="3"/>
  <c r="L500" i="3"/>
  <c r="K500" i="3"/>
  <c r="N499" i="3"/>
  <c r="M499" i="3"/>
  <c r="L499" i="3"/>
  <c r="K499" i="3"/>
  <c r="N498" i="3"/>
  <c r="M498" i="3"/>
  <c r="L498" i="3"/>
  <c r="K498" i="3"/>
  <c r="N497" i="3"/>
  <c r="M497" i="3"/>
  <c r="L497" i="3"/>
  <c r="K497" i="3"/>
  <c r="N496" i="3"/>
  <c r="M496" i="3"/>
  <c r="L496" i="3"/>
  <c r="K496" i="3"/>
  <c r="N495" i="3"/>
  <c r="M495" i="3"/>
  <c r="L495" i="3"/>
  <c r="K495" i="3"/>
  <c r="N494" i="3"/>
  <c r="M494" i="3"/>
  <c r="L494" i="3"/>
  <c r="K494" i="3"/>
  <c r="N493" i="3"/>
  <c r="M493" i="3"/>
  <c r="L493" i="3"/>
  <c r="K493" i="3"/>
  <c r="N492" i="3"/>
  <c r="M492" i="3"/>
  <c r="L492" i="3"/>
  <c r="K492" i="3"/>
  <c r="N491" i="3"/>
  <c r="M491" i="3"/>
  <c r="L491" i="3"/>
  <c r="K491" i="3"/>
  <c r="N490" i="3"/>
  <c r="M490" i="3"/>
  <c r="L490" i="3"/>
  <c r="K490" i="3"/>
  <c r="N489" i="3"/>
  <c r="M489" i="3"/>
  <c r="L489" i="3"/>
  <c r="K489" i="3"/>
  <c r="N488" i="3"/>
  <c r="M488" i="3"/>
  <c r="L488" i="3"/>
  <c r="K488" i="3"/>
  <c r="N487" i="3"/>
  <c r="M487" i="3"/>
  <c r="L487" i="3"/>
  <c r="K487" i="3"/>
  <c r="N486" i="3"/>
  <c r="M486" i="3"/>
  <c r="L486" i="3"/>
  <c r="K486" i="3"/>
  <c r="N485" i="3"/>
  <c r="M485" i="3"/>
  <c r="L485" i="3"/>
  <c r="K485" i="3"/>
  <c r="N484" i="3"/>
  <c r="M484" i="3"/>
  <c r="L484" i="3"/>
  <c r="K484" i="3"/>
  <c r="N483" i="3"/>
  <c r="M483" i="3"/>
  <c r="L483" i="3"/>
  <c r="K483" i="3"/>
  <c r="N482" i="3"/>
  <c r="M482" i="3"/>
  <c r="L482" i="3"/>
  <c r="K482" i="3"/>
  <c r="N481" i="3"/>
  <c r="M481" i="3"/>
  <c r="L481" i="3"/>
  <c r="K481" i="3"/>
  <c r="N480" i="3"/>
  <c r="M480" i="3"/>
  <c r="L480" i="3"/>
  <c r="K480" i="3"/>
  <c r="N479" i="3"/>
  <c r="M479" i="3"/>
  <c r="L479" i="3"/>
  <c r="K479" i="3"/>
  <c r="N478" i="3"/>
  <c r="M478" i="3"/>
  <c r="L478" i="3"/>
  <c r="K478" i="3"/>
  <c r="N477" i="3"/>
  <c r="M477" i="3"/>
  <c r="L477" i="3"/>
  <c r="K477" i="3"/>
  <c r="N476" i="3"/>
  <c r="M476" i="3"/>
  <c r="L476" i="3"/>
  <c r="K476" i="3"/>
  <c r="N475" i="3"/>
  <c r="M475" i="3"/>
  <c r="L475" i="3"/>
  <c r="K475" i="3"/>
  <c r="N474" i="3"/>
  <c r="M474" i="3"/>
  <c r="L474" i="3"/>
  <c r="K474" i="3"/>
  <c r="N473" i="3"/>
  <c r="M473" i="3"/>
  <c r="L473" i="3"/>
  <c r="K473" i="3"/>
  <c r="N472" i="3"/>
  <c r="M472" i="3"/>
  <c r="L472" i="3"/>
  <c r="K472" i="3"/>
  <c r="N471" i="3"/>
  <c r="M471" i="3"/>
  <c r="L471" i="3"/>
  <c r="K471" i="3"/>
  <c r="N470" i="3"/>
  <c r="M470" i="3"/>
  <c r="L470" i="3"/>
  <c r="K470" i="3"/>
  <c r="N469" i="3"/>
  <c r="M469" i="3"/>
  <c r="L469" i="3"/>
  <c r="K469" i="3"/>
  <c r="N468" i="3"/>
  <c r="M468" i="3"/>
  <c r="L468" i="3"/>
  <c r="K468" i="3"/>
  <c r="N467" i="3"/>
  <c r="M467" i="3"/>
  <c r="L467" i="3"/>
  <c r="K467" i="3"/>
  <c r="N466" i="3"/>
  <c r="M466" i="3"/>
  <c r="L466" i="3"/>
  <c r="K466" i="3"/>
  <c r="N465" i="3"/>
  <c r="M465" i="3"/>
  <c r="L465" i="3"/>
  <c r="K465" i="3"/>
  <c r="N464" i="3"/>
  <c r="M464" i="3"/>
  <c r="L464" i="3"/>
  <c r="K464" i="3"/>
  <c r="N463" i="3"/>
  <c r="M463" i="3"/>
  <c r="L463" i="3"/>
  <c r="K463" i="3"/>
  <c r="N462" i="3"/>
  <c r="M462" i="3"/>
  <c r="L462" i="3"/>
  <c r="K462" i="3"/>
  <c r="N461" i="3"/>
  <c r="M461" i="3"/>
  <c r="L461" i="3"/>
  <c r="K461" i="3"/>
  <c r="N460" i="3"/>
  <c r="M460" i="3"/>
  <c r="L460" i="3"/>
  <c r="K460" i="3"/>
  <c r="N459" i="3"/>
  <c r="M459" i="3"/>
  <c r="L459" i="3"/>
  <c r="K459" i="3"/>
  <c r="N458" i="3"/>
  <c r="M458" i="3"/>
  <c r="L458" i="3"/>
  <c r="K458" i="3"/>
  <c r="N457" i="3"/>
  <c r="M457" i="3"/>
  <c r="L457" i="3"/>
  <c r="K457" i="3"/>
  <c r="N456" i="3"/>
  <c r="M456" i="3"/>
  <c r="L456" i="3"/>
  <c r="K456" i="3"/>
  <c r="N455" i="3"/>
  <c r="M455" i="3"/>
  <c r="L455" i="3"/>
  <c r="K455" i="3"/>
  <c r="N454" i="3"/>
  <c r="M454" i="3"/>
  <c r="L454" i="3"/>
  <c r="K454" i="3"/>
  <c r="N453" i="3"/>
  <c r="M453" i="3"/>
  <c r="L453" i="3"/>
  <c r="K453" i="3"/>
  <c r="N452" i="3"/>
  <c r="M452" i="3"/>
  <c r="L452" i="3"/>
  <c r="K452" i="3"/>
  <c r="N451" i="3"/>
  <c r="M451" i="3"/>
  <c r="L451" i="3"/>
  <c r="K451" i="3"/>
  <c r="N450" i="3"/>
  <c r="M450" i="3"/>
  <c r="L450" i="3"/>
  <c r="K450" i="3"/>
  <c r="N449" i="3"/>
  <c r="M449" i="3"/>
  <c r="L449" i="3"/>
  <c r="K449" i="3"/>
  <c r="N448" i="3"/>
  <c r="M448" i="3"/>
  <c r="L448" i="3"/>
  <c r="K448" i="3"/>
  <c r="N447" i="3"/>
  <c r="M447" i="3"/>
  <c r="L447" i="3"/>
  <c r="K447" i="3"/>
  <c r="N446" i="3"/>
  <c r="M446" i="3"/>
  <c r="L446" i="3"/>
  <c r="K446" i="3"/>
  <c r="N445" i="3"/>
  <c r="M445" i="3"/>
  <c r="L445" i="3"/>
  <c r="K445" i="3"/>
  <c r="N444" i="3"/>
  <c r="M444" i="3"/>
  <c r="L444" i="3"/>
  <c r="K444" i="3"/>
  <c r="N443" i="3"/>
  <c r="M443" i="3"/>
  <c r="L443" i="3"/>
  <c r="K443" i="3"/>
  <c r="N442" i="3"/>
  <c r="M442" i="3"/>
  <c r="L442" i="3"/>
  <c r="K442" i="3"/>
  <c r="N441" i="3"/>
  <c r="M441" i="3"/>
  <c r="L441" i="3"/>
  <c r="K441" i="3"/>
  <c r="N440" i="3"/>
  <c r="M440" i="3"/>
  <c r="L440" i="3"/>
  <c r="K440" i="3"/>
  <c r="N439" i="3"/>
  <c r="M439" i="3"/>
  <c r="L439" i="3"/>
  <c r="K439" i="3"/>
  <c r="N438" i="3"/>
  <c r="M438" i="3"/>
  <c r="L438" i="3"/>
  <c r="K438" i="3"/>
  <c r="N437" i="3"/>
  <c r="M437" i="3"/>
  <c r="L437" i="3"/>
  <c r="K437" i="3"/>
  <c r="N436" i="3"/>
  <c r="M436" i="3"/>
  <c r="L436" i="3"/>
  <c r="K436" i="3"/>
  <c r="N435" i="3"/>
  <c r="M435" i="3"/>
  <c r="L435" i="3"/>
  <c r="K435" i="3"/>
  <c r="N434" i="3"/>
  <c r="M434" i="3"/>
  <c r="L434" i="3"/>
  <c r="K434" i="3"/>
  <c r="N433" i="3"/>
  <c r="M433" i="3"/>
  <c r="L433" i="3"/>
  <c r="K433" i="3"/>
  <c r="N432" i="3"/>
  <c r="M432" i="3"/>
  <c r="L432" i="3"/>
  <c r="K432" i="3"/>
  <c r="N431" i="3"/>
  <c r="M431" i="3"/>
  <c r="L431" i="3"/>
  <c r="K431" i="3"/>
  <c r="N430" i="3"/>
  <c r="M430" i="3"/>
  <c r="L430" i="3"/>
  <c r="K430" i="3"/>
  <c r="N429" i="3"/>
  <c r="M429" i="3"/>
  <c r="L429" i="3"/>
  <c r="K429" i="3"/>
  <c r="N428" i="3"/>
  <c r="M428" i="3"/>
  <c r="L428" i="3"/>
  <c r="K428" i="3"/>
  <c r="N427" i="3"/>
  <c r="M427" i="3"/>
  <c r="L427" i="3"/>
  <c r="K427" i="3"/>
  <c r="N426" i="3"/>
  <c r="M426" i="3"/>
  <c r="L426" i="3"/>
  <c r="K426" i="3"/>
  <c r="N425" i="3"/>
  <c r="M425" i="3"/>
  <c r="L425" i="3"/>
  <c r="K425" i="3"/>
  <c r="N424" i="3"/>
  <c r="M424" i="3"/>
  <c r="L424" i="3"/>
  <c r="K424" i="3"/>
  <c r="N423" i="3"/>
  <c r="M423" i="3"/>
  <c r="L423" i="3"/>
  <c r="K423" i="3"/>
  <c r="N422" i="3"/>
  <c r="M422" i="3"/>
  <c r="L422" i="3"/>
  <c r="K422" i="3"/>
  <c r="N421" i="3"/>
  <c r="M421" i="3"/>
  <c r="L421" i="3"/>
  <c r="K421" i="3"/>
  <c r="N420" i="3"/>
  <c r="M420" i="3"/>
  <c r="L420" i="3"/>
  <c r="K420" i="3"/>
  <c r="N419" i="3"/>
  <c r="M419" i="3"/>
  <c r="L419" i="3"/>
  <c r="K419" i="3"/>
  <c r="N418" i="3"/>
  <c r="M418" i="3"/>
  <c r="L418" i="3"/>
  <c r="K418" i="3"/>
  <c r="N417" i="3"/>
  <c r="M417" i="3"/>
  <c r="L417" i="3"/>
  <c r="K417" i="3"/>
  <c r="N416" i="3"/>
  <c r="M416" i="3"/>
  <c r="L416" i="3"/>
  <c r="K416" i="3"/>
  <c r="N415" i="3"/>
  <c r="M415" i="3"/>
  <c r="L415" i="3"/>
  <c r="K415" i="3"/>
  <c r="N414" i="3"/>
  <c r="M414" i="3"/>
  <c r="L414" i="3"/>
  <c r="K414" i="3"/>
  <c r="N413" i="3"/>
  <c r="M413" i="3"/>
  <c r="L413" i="3"/>
  <c r="K413" i="3"/>
  <c r="N412" i="3"/>
  <c r="M412" i="3"/>
  <c r="L412" i="3"/>
  <c r="K412" i="3"/>
  <c r="N411" i="3"/>
  <c r="M411" i="3"/>
  <c r="L411" i="3"/>
  <c r="K411" i="3"/>
  <c r="N410" i="3"/>
  <c r="M410" i="3"/>
  <c r="L410" i="3"/>
  <c r="K410" i="3"/>
  <c r="N409" i="3"/>
  <c r="M409" i="3"/>
  <c r="L409" i="3"/>
  <c r="K409" i="3"/>
  <c r="N408" i="3"/>
  <c r="M408" i="3"/>
  <c r="L408" i="3"/>
  <c r="K408" i="3"/>
  <c r="N407" i="3"/>
  <c r="M407" i="3"/>
  <c r="L407" i="3"/>
  <c r="K407" i="3"/>
  <c r="N406" i="3"/>
  <c r="M406" i="3"/>
  <c r="L406" i="3"/>
  <c r="K406" i="3"/>
  <c r="N405" i="3"/>
  <c r="M405" i="3"/>
  <c r="L405" i="3"/>
  <c r="K405" i="3"/>
  <c r="N404" i="3"/>
  <c r="M404" i="3"/>
  <c r="L404" i="3"/>
  <c r="K404" i="3"/>
  <c r="N403" i="3"/>
  <c r="M403" i="3"/>
  <c r="L403" i="3"/>
  <c r="K403" i="3"/>
  <c r="N402" i="3"/>
  <c r="M402" i="3"/>
  <c r="L402" i="3"/>
  <c r="K402" i="3"/>
  <c r="N401" i="3"/>
  <c r="M401" i="3"/>
  <c r="L401" i="3"/>
  <c r="K401" i="3"/>
  <c r="N400" i="3"/>
  <c r="M400" i="3"/>
  <c r="L400" i="3"/>
  <c r="K400" i="3"/>
  <c r="N399" i="3"/>
  <c r="M399" i="3"/>
  <c r="L399" i="3"/>
  <c r="K399" i="3"/>
  <c r="N398" i="3"/>
  <c r="M398" i="3"/>
  <c r="L398" i="3"/>
  <c r="K398" i="3"/>
  <c r="N397" i="3"/>
  <c r="M397" i="3"/>
  <c r="L397" i="3"/>
  <c r="K397" i="3"/>
  <c r="N396" i="3"/>
  <c r="M396" i="3"/>
  <c r="L396" i="3"/>
  <c r="K396" i="3"/>
  <c r="N395" i="3"/>
  <c r="M395" i="3"/>
  <c r="L395" i="3"/>
  <c r="K395" i="3"/>
  <c r="N394" i="3"/>
  <c r="M394" i="3"/>
  <c r="L394" i="3"/>
  <c r="K394" i="3"/>
  <c r="N393" i="3"/>
  <c r="M393" i="3"/>
  <c r="L393" i="3"/>
  <c r="K393" i="3"/>
  <c r="N392" i="3"/>
  <c r="M392" i="3"/>
  <c r="L392" i="3"/>
  <c r="K392" i="3"/>
  <c r="N391" i="3"/>
  <c r="M391" i="3"/>
  <c r="L391" i="3"/>
  <c r="K391" i="3"/>
  <c r="N390" i="3"/>
  <c r="M390" i="3"/>
  <c r="L390" i="3"/>
  <c r="K390" i="3"/>
  <c r="N389" i="3"/>
  <c r="M389" i="3"/>
  <c r="L389" i="3"/>
  <c r="K389" i="3"/>
  <c r="N388" i="3"/>
  <c r="M388" i="3"/>
  <c r="L388" i="3"/>
  <c r="K388" i="3"/>
  <c r="N387" i="3"/>
  <c r="M387" i="3"/>
  <c r="L387" i="3"/>
  <c r="K387" i="3"/>
  <c r="N386" i="3"/>
  <c r="M386" i="3"/>
  <c r="L386" i="3"/>
  <c r="K386" i="3"/>
  <c r="N385" i="3"/>
  <c r="M385" i="3"/>
  <c r="L385" i="3"/>
  <c r="K385" i="3"/>
  <c r="N384" i="3"/>
  <c r="M384" i="3"/>
  <c r="L384" i="3"/>
  <c r="K384" i="3"/>
  <c r="N383" i="3"/>
  <c r="M383" i="3"/>
  <c r="L383" i="3"/>
  <c r="K383" i="3"/>
  <c r="N382" i="3"/>
  <c r="M382" i="3"/>
  <c r="L382" i="3"/>
  <c r="K382" i="3"/>
  <c r="N381" i="3"/>
  <c r="M381" i="3"/>
  <c r="L381" i="3"/>
  <c r="K381" i="3"/>
  <c r="N380" i="3"/>
  <c r="M380" i="3"/>
  <c r="L380" i="3"/>
  <c r="K380" i="3"/>
  <c r="N379" i="3"/>
  <c r="M379" i="3"/>
  <c r="L379" i="3"/>
  <c r="K379" i="3"/>
  <c r="N378" i="3"/>
  <c r="M378" i="3"/>
  <c r="L378" i="3"/>
  <c r="K378" i="3"/>
  <c r="N377" i="3"/>
  <c r="M377" i="3"/>
  <c r="L377" i="3"/>
  <c r="K377" i="3"/>
  <c r="N376" i="3"/>
  <c r="M376" i="3"/>
  <c r="L376" i="3"/>
  <c r="K376" i="3"/>
  <c r="N375" i="3"/>
  <c r="M375" i="3"/>
  <c r="L375" i="3"/>
  <c r="K375" i="3"/>
  <c r="N374" i="3"/>
  <c r="M374" i="3"/>
  <c r="L374" i="3"/>
  <c r="K374" i="3"/>
  <c r="N373" i="3"/>
  <c r="M373" i="3"/>
  <c r="L373" i="3"/>
  <c r="K373" i="3"/>
  <c r="N372" i="3"/>
  <c r="M372" i="3"/>
  <c r="L372" i="3"/>
  <c r="K372" i="3"/>
  <c r="N371" i="3"/>
  <c r="M371" i="3"/>
  <c r="L371" i="3"/>
  <c r="K371" i="3"/>
  <c r="N370" i="3"/>
  <c r="M370" i="3"/>
  <c r="L370" i="3"/>
  <c r="K370" i="3"/>
  <c r="N369" i="3"/>
  <c r="M369" i="3"/>
  <c r="L369" i="3"/>
  <c r="K369" i="3"/>
  <c r="N368" i="3"/>
  <c r="M368" i="3"/>
  <c r="L368" i="3"/>
  <c r="K368" i="3"/>
  <c r="N367" i="3"/>
  <c r="M367" i="3"/>
  <c r="L367" i="3"/>
  <c r="K367" i="3"/>
  <c r="N366" i="3"/>
  <c r="M366" i="3"/>
  <c r="L366" i="3"/>
  <c r="K366" i="3"/>
  <c r="N365" i="3"/>
  <c r="M365" i="3"/>
  <c r="L365" i="3"/>
  <c r="K365" i="3"/>
  <c r="N364" i="3"/>
  <c r="M364" i="3"/>
  <c r="L364" i="3"/>
  <c r="K364" i="3"/>
  <c r="N363" i="3"/>
  <c r="M363" i="3"/>
  <c r="L363" i="3"/>
  <c r="K363" i="3"/>
  <c r="N362" i="3"/>
  <c r="M362" i="3"/>
  <c r="L362" i="3"/>
  <c r="K362" i="3"/>
  <c r="N361" i="3"/>
  <c r="M361" i="3"/>
  <c r="L361" i="3"/>
  <c r="K361" i="3"/>
  <c r="N360" i="3"/>
  <c r="M360" i="3"/>
  <c r="L360" i="3"/>
  <c r="K360" i="3"/>
  <c r="N359" i="3"/>
  <c r="M359" i="3"/>
  <c r="L359" i="3"/>
  <c r="K359" i="3"/>
  <c r="N358" i="3"/>
  <c r="M358" i="3"/>
  <c r="L358" i="3"/>
  <c r="K358" i="3"/>
  <c r="N357" i="3"/>
  <c r="M357" i="3"/>
  <c r="L357" i="3"/>
  <c r="K357" i="3"/>
  <c r="N356" i="3"/>
  <c r="M356" i="3"/>
  <c r="L356" i="3"/>
  <c r="K356" i="3"/>
  <c r="N355" i="3"/>
  <c r="M355" i="3"/>
  <c r="L355" i="3"/>
  <c r="K355" i="3"/>
  <c r="N354" i="3"/>
  <c r="M354" i="3"/>
  <c r="L354" i="3"/>
  <c r="K354" i="3"/>
  <c r="N353" i="3"/>
  <c r="M353" i="3"/>
  <c r="L353" i="3"/>
  <c r="K353" i="3"/>
  <c r="N352" i="3"/>
  <c r="M352" i="3"/>
  <c r="L352" i="3"/>
  <c r="K352" i="3"/>
  <c r="N351" i="3"/>
  <c r="M351" i="3"/>
  <c r="L351" i="3"/>
  <c r="K351" i="3"/>
  <c r="N350" i="3"/>
  <c r="M350" i="3"/>
  <c r="L350" i="3"/>
  <c r="K350" i="3"/>
  <c r="N349" i="3"/>
  <c r="M349" i="3"/>
  <c r="L349" i="3"/>
  <c r="K349" i="3"/>
  <c r="N348" i="3"/>
  <c r="M348" i="3"/>
  <c r="L348" i="3"/>
  <c r="K348" i="3"/>
  <c r="N347" i="3"/>
  <c r="M347" i="3"/>
  <c r="L347" i="3"/>
  <c r="K347" i="3"/>
  <c r="N346" i="3"/>
  <c r="M346" i="3"/>
  <c r="L346" i="3"/>
  <c r="K346" i="3"/>
  <c r="N345" i="3"/>
  <c r="M345" i="3"/>
  <c r="L345" i="3"/>
  <c r="K345" i="3"/>
  <c r="N344" i="3"/>
  <c r="M344" i="3"/>
  <c r="L344" i="3"/>
  <c r="K344" i="3"/>
  <c r="N343" i="3"/>
  <c r="M343" i="3"/>
  <c r="L343" i="3"/>
  <c r="K343" i="3"/>
  <c r="N342" i="3"/>
  <c r="M342" i="3"/>
  <c r="L342" i="3"/>
  <c r="K342" i="3"/>
  <c r="N341" i="3"/>
  <c r="M341" i="3"/>
  <c r="L341" i="3"/>
  <c r="K341" i="3"/>
  <c r="N340" i="3"/>
  <c r="M340" i="3"/>
  <c r="L340" i="3"/>
  <c r="K340" i="3"/>
  <c r="N339" i="3"/>
  <c r="M339" i="3"/>
  <c r="L339" i="3"/>
  <c r="K339" i="3"/>
  <c r="N338" i="3"/>
  <c r="M338" i="3"/>
  <c r="L338" i="3"/>
  <c r="K338" i="3"/>
  <c r="N337" i="3"/>
  <c r="M337" i="3"/>
  <c r="L337" i="3"/>
  <c r="K337" i="3"/>
  <c r="N336" i="3"/>
  <c r="M336" i="3"/>
  <c r="L336" i="3"/>
  <c r="K336" i="3"/>
  <c r="N335" i="3"/>
  <c r="M335" i="3"/>
  <c r="L335" i="3"/>
  <c r="K335" i="3"/>
  <c r="N334" i="3"/>
  <c r="M334" i="3"/>
  <c r="L334" i="3"/>
  <c r="K334" i="3"/>
  <c r="N333" i="3"/>
  <c r="M333" i="3"/>
  <c r="L333" i="3"/>
  <c r="K333" i="3"/>
  <c r="N332" i="3"/>
  <c r="M332" i="3"/>
  <c r="L332" i="3"/>
  <c r="K332" i="3"/>
  <c r="N331" i="3"/>
  <c r="M331" i="3"/>
  <c r="L331" i="3"/>
  <c r="K331" i="3"/>
  <c r="N330" i="3"/>
  <c r="M330" i="3"/>
  <c r="L330" i="3"/>
  <c r="K330" i="3"/>
  <c r="N329" i="3"/>
  <c r="M329" i="3"/>
  <c r="L329" i="3"/>
  <c r="K329" i="3"/>
  <c r="N328" i="3"/>
  <c r="M328" i="3"/>
  <c r="L328" i="3"/>
  <c r="K328" i="3"/>
  <c r="N327" i="3"/>
  <c r="M327" i="3"/>
  <c r="L327" i="3"/>
  <c r="K327" i="3"/>
  <c r="N326" i="3"/>
  <c r="M326" i="3"/>
  <c r="L326" i="3"/>
  <c r="K326" i="3"/>
  <c r="N325" i="3"/>
  <c r="M325" i="3"/>
  <c r="L325" i="3"/>
  <c r="K325" i="3"/>
  <c r="N324" i="3"/>
  <c r="M324" i="3"/>
  <c r="L324" i="3"/>
  <c r="K324" i="3"/>
  <c r="N323" i="3"/>
  <c r="M323" i="3"/>
  <c r="L323" i="3"/>
  <c r="K323" i="3"/>
  <c r="N322" i="3"/>
  <c r="M322" i="3"/>
  <c r="L322" i="3"/>
  <c r="K322" i="3"/>
  <c r="N321" i="3"/>
  <c r="M321" i="3"/>
  <c r="L321" i="3"/>
  <c r="K321" i="3"/>
  <c r="N320" i="3"/>
  <c r="M320" i="3"/>
  <c r="L320" i="3"/>
  <c r="K320" i="3"/>
  <c r="N319" i="3"/>
  <c r="M319" i="3"/>
  <c r="L319" i="3"/>
  <c r="K319" i="3"/>
  <c r="N318" i="3"/>
  <c r="M318" i="3"/>
  <c r="L318" i="3"/>
  <c r="K318" i="3"/>
  <c r="N317" i="3"/>
  <c r="M317" i="3"/>
  <c r="L317" i="3"/>
  <c r="K317" i="3"/>
  <c r="N316" i="3"/>
  <c r="M316" i="3"/>
  <c r="L316" i="3"/>
  <c r="K316" i="3"/>
  <c r="N315" i="3"/>
  <c r="M315" i="3"/>
  <c r="L315" i="3"/>
  <c r="K315" i="3"/>
  <c r="N314" i="3"/>
  <c r="M314" i="3"/>
  <c r="L314" i="3"/>
  <c r="K314" i="3"/>
  <c r="N313" i="3"/>
  <c r="M313" i="3"/>
  <c r="L313" i="3"/>
  <c r="K313" i="3"/>
  <c r="N312" i="3"/>
  <c r="M312" i="3"/>
  <c r="L312" i="3"/>
  <c r="K312" i="3"/>
  <c r="N311" i="3"/>
  <c r="M311" i="3"/>
  <c r="L311" i="3"/>
  <c r="K311" i="3"/>
  <c r="N310" i="3"/>
  <c r="M310" i="3"/>
  <c r="L310" i="3"/>
  <c r="K310" i="3"/>
  <c r="N309" i="3"/>
  <c r="M309" i="3"/>
  <c r="L309" i="3"/>
  <c r="K309" i="3"/>
  <c r="N308" i="3"/>
  <c r="M308" i="3"/>
  <c r="L308" i="3"/>
  <c r="K308" i="3"/>
  <c r="N307" i="3"/>
  <c r="M307" i="3"/>
  <c r="L307" i="3"/>
  <c r="K307" i="3"/>
  <c r="N306" i="3"/>
  <c r="M306" i="3"/>
  <c r="L306" i="3"/>
  <c r="K306" i="3"/>
  <c r="N305" i="3"/>
  <c r="M305" i="3"/>
  <c r="L305" i="3"/>
  <c r="K305" i="3"/>
  <c r="N304" i="3"/>
  <c r="M304" i="3"/>
  <c r="L304" i="3"/>
  <c r="K304" i="3"/>
  <c r="N303" i="3"/>
  <c r="M303" i="3"/>
  <c r="L303" i="3"/>
  <c r="K303" i="3"/>
  <c r="N302" i="3"/>
  <c r="M302" i="3"/>
  <c r="L302" i="3"/>
  <c r="K302" i="3"/>
  <c r="N301" i="3"/>
  <c r="M301" i="3"/>
  <c r="L301" i="3"/>
  <c r="K301" i="3"/>
  <c r="N300" i="3"/>
  <c r="M300" i="3"/>
  <c r="L300" i="3"/>
  <c r="K300" i="3"/>
  <c r="N299" i="3"/>
  <c r="M299" i="3"/>
  <c r="L299" i="3"/>
  <c r="K299" i="3"/>
  <c r="N298" i="3"/>
  <c r="M298" i="3"/>
  <c r="L298" i="3"/>
  <c r="K298" i="3"/>
  <c r="N297" i="3"/>
  <c r="M297" i="3"/>
  <c r="L297" i="3"/>
  <c r="K297" i="3"/>
  <c r="N296" i="3"/>
  <c r="M296" i="3"/>
  <c r="L296" i="3"/>
  <c r="K296" i="3"/>
  <c r="N295" i="3"/>
  <c r="M295" i="3"/>
  <c r="L295" i="3"/>
  <c r="K295" i="3"/>
  <c r="N294" i="3"/>
  <c r="M294" i="3"/>
  <c r="L294" i="3"/>
  <c r="K294" i="3"/>
  <c r="N293" i="3"/>
  <c r="M293" i="3"/>
  <c r="L293" i="3"/>
  <c r="K293" i="3"/>
  <c r="N292" i="3"/>
  <c r="M292" i="3"/>
  <c r="L292" i="3"/>
  <c r="K292" i="3"/>
  <c r="N291" i="3"/>
  <c r="M291" i="3"/>
  <c r="L291" i="3"/>
  <c r="K291" i="3"/>
  <c r="N290" i="3"/>
  <c r="M290" i="3"/>
  <c r="L290" i="3"/>
  <c r="K290" i="3"/>
  <c r="N289" i="3"/>
  <c r="M289" i="3"/>
  <c r="L289" i="3"/>
  <c r="K289" i="3"/>
  <c r="N288" i="3"/>
  <c r="M288" i="3"/>
  <c r="L288" i="3"/>
  <c r="K288" i="3"/>
  <c r="N287" i="3"/>
  <c r="M287" i="3"/>
  <c r="L287" i="3"/>
  <c r="K287" i="3"/>
  <c r="N286" i="3"/>
  <c r="M286" i="3"/>
  <c r="L286" i="3"/>
  <c r="K286" i="3"/>
  <c r="N285" i="3"/>
  <c r="M285" i="3"/>
  <c r="L285" i="3"/>
  <c r="K285" i="3"/>
  <c r="N284" i="3"/>
  <c r="M284" i="3"/>
  <c r="L284" i="3"/>
  <c r="K284" i="3"/>
  <c r="N283" i="3"/>
  <c r="M283" i="3"/>
  <c r="L283" i="3"/>
  <c r="K283" i="3"/>
  <c r="N282" i="3"/>
  <c r="M282" i="3"/>
  <c r="L282" i="3"/>
  <c r="K282" i="3"/>
  <c r="N281" i="3"/>
  <c r="M281" i="3"/>
  <c r="L281" i="3"/>
  <c r="K281" i="3"/>
  <c r="N280" i="3"/>
  <c r="M280" i="3"/>
  <c r="L280" i="3"/>
  <c r="K280" i="3"/>
  <c r="N279" i="3"/>
  <c r="M279" i="3"/>
  <c r="L279" i="3"/>
  <c r="K279" i="3"/>
  <c r="N278" i="3"/>
  <c r="M278" i="3"/>
  <c r="L278" i="3"/>
  <c r="K278" i="3"/>
  <c r="N277" i="3"/>
  <c r="M277" i="3"/>
  <c r="L277" i="3"/>
  <c r="K277" i="3"/>
  <c r="N276" i="3"/>
  <c r="M276" i="3"/>
  <c r="L276" i="3"/>
  <c r="K276" i="3"/>
  <c r="N275" i="3"/>
  <c r="M275" i="3"/>
  <c r="L275" i="3"/>
  <c r="K275" i="3"/>
  <c r="N274" i="3"/>
  <c r="M274" i="3"/>
  <c r="L274" i="3"/>
  <c r="K274" i="3"/>
  <c r="N273" i="3"/>
  <c r="M273" i="3"/>
  <c r="L273" i="3"/>
  <c r="K273" i="3"/>
  <c r="N272" i="3"/>
  <c r="M272" i="3"/>
  <c r="L272" i="3"/>
  <c r="K272" i="3"/>
  <c r="N271" i="3"/>
  <c r="M271" i="3"/>
  <c r="L271" i="3"/>
  <c r="K271" i="3"/>
  <c r="N270" i="3"/>
  <c r="M270" i="3"/>
  <c r="L270" i="3"/>
  <c r="K270" i="3"/>
  <c r="N269" i="3"/>
  <c r="M269" i="3"/>
  <c r="L269" i="3"/>
  <c r="K269" i="3"/>
  <c r="N268" i="3"/>
  <c r="M268" i="3"/>
  <c r="L268" i="3"/>
  <c r="K268" i="3"/>
  <c r="N267" i="3"/>
  <c r="M267" i="3"/>
  <c r="L267" i="3"/>
  <c r="K267" i="3"/>
  <c r="N266" i="3"/>
  <c r="M266" i="3"/>
  <c r="L266" i="3"/>
  <c r="K266" i="3"/>
  <c r="N265" i="3"/>
  <c r="M265" i="3"/>
  <c r="L265" i="3"/>
  <c r="K265" i="3"/>
  <c r="N264" i="3"/>
  <c r="M264" i="3"/>
  <c r="L264" i="3"/>
  <c r="K264" i="3"/>
  <c r="N263" i="3"/>
  <c r="M263" i="3"/>
  <c r="L263" i="3"/>
  <c r="K263" i="3"/>
  <c r="N262" i="3"/>
  <c r="M262" i="3"/>
  <c r="L262" i="3"/>
  <c r="K262" i="3"/>
  <c r="N261" i="3"/>
  <c r="M261" i="3"/>
  <c r="L261" i="3"/>
  <c r="K261" i="3"/>
  <c r="N260" i="3"/>
  <c r="M260" i="3"/>
  <c r="L260" i="3"/>
  <c r="K260" i="3"/>
  <c r="N259" i="3"/>
  <c r="M259" i="3"/>
  <c r="L259" i="3"/>
  <c r="K259" i="3"/>
  <c r="N258" i="3"/>
  <c r="M258" i="3"/>
  <c r="L258" i="3"/>
  <c r="K258" i="3"/>
  <c r="N257" i="3"/>
  <c r="M257" i="3"/>
  <c r="L257" i="3"/>
  <c r="K257" i="3"/>
  <c r="N256" i="3"/>
  <c r="M256" i="3"/>
  <c r="L256" i="3"/>
  <c r="K256" i="3"/>
  <c r="N255" i="3"/>
  <c r="M255" i="3"/>
  <c r="L255" i="3"/>
  <c r="K255" i="3"/>
  <c r="N254" i="3"/>
  <c r="M254" i="3"/>
  <c r="L254" i="3"/>
  <c r="K254" i="3"/>
  <c r="N253" i="3"/>
  <c r="M253" i="3"/>
  <c r="L253" i="3"/>
  <c r="K253" i="3"/>
  <c r="N252" i="3"/>
  <c r="M252" i="3"/>
  <c r="L252" i="3"/>
  <c r="K252" i="3"/>
  <c r="N251" i="3"/>
  <c r="M251" i="3"/>
  <c r="L251" i="3"/>
  <c r="K251" i="3"/>
  <c r="N250" i="3"/>
  <c r="M250" i="3"/>
  <c r="L250" i="3"/>
  <c r="K250" i="3"/>
  <c r="N249" i="3"/>
  <c r="M249" i="3"/>
  <c r="L249" i="3"/>
  <c r="K249" i="3"/>
  <c r="N248" i="3"/>
  <c r="M248" i="3"/>
  <c r="L248" i="3"/>
  <c r="K248" i="3"/>
  <c r="N247" i="3"/>
  <c r="M247" i="3"/>
  <c r="L247" i="3"/>
  <c r="K247" i="3"/>
  <c r="N246" i="3"/>
  <c r="M246" i="3"/>
  <c r="L246" i="3"/>
  <c r="K246" i="3"/>
  <c r="N245" i="3"/>
  <c r="M245" i="3"/>
  <c r="L245" i="3"/>
  <c r="K245" i="3"/>
  <c r="N244" i="3"/>
  <c r="M244" i="3"/>
  <c r="L244" i="3"/>
  <c r="K244" i="3"/>
  <c r="N243" i="3"/>
  <c r="M243" i="3"/>
  <c r="L243" i="3"/>
  <c r="K243" i="3"/>
  <c r="N242" i="3"/>
  <c r="M242" i="3"/>
  <c r="L242" i="3"/>
  <c r="K242" i="3"/>
  <c r="N241" i="3"/>
  <c r="M241" i="3"/>
  <c r="L241" i="3"/>
  <c r="K241" i="3"/>
  <c r="N240" i="3"/>
  <c r="M240" i="3"/>
  <c r="L240" i="3"/>
  <c r="K240" i="3"/>
  <c r="N239" i="3"/>
  <c r="M239" i="3"/>
  <c r="L239" i="3"/>
  <c r="K239" i="3"/>
  <c r="N238" i="3"/>
  <c r="M238" i="3"/>
  <c r="L238" i="3"/>
  <c r="K238" i="3"/>
  <c r="N237" i="3"/>
  <c r="M237" i="3"/>
  <c r="L237" i="3"/>
  <c r="K237" i="3"/>
  <c r="N236" i="3"/>
  <c r="M236" i="3"/>
  <c r="L236" i="3"/>
  <c r="K236" i="3"/>
  <c r="N235" i="3"/>
  <c r="M235" i="3"/>
  <c r="L235" i="3"/>
  <c r="K235" i="3"/>
  <c r="N234" i="3"/>
  <c r="M234" i="3"/>
  <c r="L234" i="3"/>
  <c r="K234" i="3"/>
  <c r="N233" i="3"/>
  <c r="M233" i="3"/>
  <c r="L233" i="3"/>
  <c r="K233" i="3"/>
  <c r="N232" i="3"/>
  <c r="M232" i="3"/>
  <c r="L232" i="3"/>
  <c r="K232" i="3"/>
  <c r="N231" i="3"/>
  <c r="M231" i="3"/>
  <c r="L231" i="3"/>
  <c r="K231" i="3"/>
  <c r="N230" i="3"/>
  <c r="M230" i="3"/>
  <c r="L230" i="3"/>
  <c r="K230" i="3"/>
  <c r="N229" i="3"/>
  <c r="M229" i="3"/>
  <c r="L229" i="3"/>
  <c r="K229" i="3"/>
  <c r="N228" i="3"/>
  <c r="M228" i="3"/>
  <c r="L228" i="3"/>
  <c r="K228" i="3"/>
  <c r="N227" i="3"/>
  <c r="M227" i="3"/>
  <c r="L227" i="3"/>
  <c r="K227" i="3"/>
  <c r="N226" i="3"/>
  <c r="M226" i="3"/>
  <c r="L226" i="3"/>
  <c r="K226" i="3"/>
  <c r="N225" i="3"/>
  <c r="M225" i="3"/>
  <c r="L225" i="3"/>
  <c r="K225" i="3"/>
  <c r="N224" i="3"/>
  <c r="M224" i="3"/>
  <c r="L224" i="3"/>
  <c r="K224" i="3"/>
  <c r="N223" i="3"/>
  <c r="M223" i="3"/>
  <c r="L223" i="3"/>
  <c r="K223" i="3"/>
  <c r="N222" i="3"/>
  <c r="M222" i="3"/>
  <c r="L222" i="3"/>
  <c r="K222" i="3"/>
  <c r="N221" i="3"/>
  <c r="M221" i="3"/>
  <c r="L221" i="3"/>
  <c r="K221" i="3"/>
  <c r="N220" i="3"/>
  <c r="M220" i="3"/>
  <c r="L220" i="3"/>
  <c r="K220" i="3"/>
  <c r="N219" i="3"/>
  <c r="M219" i="3"/>
  <c r="L219" i="3"/>
  <c r="K219" i="3"/>
  <c r="N218" i="3"/>
  <c r="M218" i="3"/>
  <c r="L218" i="3"/>
  <c r="K218" i="3"/>
  <c r="N217" i="3"/>
  <c r="M217" i="3"/>
  <c r="L217" i="3"/>
  <c r="K217" i="3"/>
  <c r="N216" i="3"/>
  <c r="M216" i="3"/>
  <c r="L216" i="3"/>
  <c r="K216" i="3"/>
  <c r="N215" i="3"/>
  <c r="M215" i="3"/>
  <c r="L215" i="3"/>
  <c r="K215" i="3"/>
  <c r="N214" i="3"/>
  <c r="M214" i="3"/>
  <c r="L214" i="3"/>
  <c r="K214" i="3"/>
  <c r="N213" i="3"/>
  <c r="M213" i="3"/>
  <c r="L213" i="3"/>
  <c r="K213" i="3"/>
  <c r="N212" i="3"/>
  <c r="M212" i="3"/>
  <c r="L212" i="3"/>
  <c r="K212" i="3"/>
  <c r="N211" i="3"/>
  <c r="M211" i="3"/>
  <c r="L211" i="3"/>
  <c r="K211" i="3"/>
  <c r="N210" i="3"/>
  <c r="M210" i="3"/>
  <c r="L210" i="3"/>
  <c r="K210" i="3"/>
  <c r="N209" i="3"/>
  <c r="M209" i="3"/>
  <c r="L209" i="3"/>
  <c r="K209" i="3"/>
  <c r="N208" i="3"/>
  <c r="M208" i="3"/>
  <c r="L208" i="3"/>
  <c r="K208" i="3"/>
  <c r="N207" i="3"/>
  <c r="M207" i="3"/>
  <c r="L207" i="3"/>
  <c r="K207" i="3"/>
  <c r="N206" i="3"/>
  <c r="M206" i="3"/>
  <c r="L206" i="3"/>
  <c r="K206" i="3"/>
  <c r="N205" i="3"/>
  <c r="M205" i="3"/>
  <c r="L205" i="3"/>
  <c r="K205" i="3"/>
  <c r="N204" i="3"/>
  <c r="M204" i="3"/>
  <c r="L204" i="3"/>
  <c r="K204" i="3"/>
  <c r="N203" i="3"/>
  <c r="M203" i="3"/>
  <c r="L203" i="3"/>
  <c r="K203" i="3"/>
  <c r="N202" i="3"/>
  <c r="M202" i="3"/>
  <c r="L202" i="3"/>
  <c r="K202" i="3"/>
  <c r="N201" i="3"/>
  <c r="M201" i="3"/>
  <c r="L201" i="3"/>
  <c r="K201" i="3"/>
  <c r="N200" i="3"/>
  <c r="M200" i="3"/>
  <c r="L200" i="3"/>
  <c r="K200" i="3"/>
  <c r="N199" i="3"/>
  <c r="M199" i="3"/>
  <c r="L199" i="3"/>
  <c r="K199" i="3"/>
  <c r="N198" i="3"/>
  <c r="M198" i="3"/>
  <c r="L198" i="3"/>
  <c r="K198" i="3"/>
  <c r="N197" i="3"/>
  <c r="M197" i="3"/>
  <c r="L197" i="3"/>
  <c r="K197" i="3"/>
  <c r="N196" i="3"/>
  <c r="M196" i="3"/>
  <c r="L196" i="3"/>
  <c r="K196" i="3"/>
  <c r="N195" i="3"/>
  <c r="M195" i="3"/>
  <c r="L195" i="3"/>
  <c r="K195" i="3"/>
  <c r="N194" i="3"/>
  <c r="M194" i="3"/>
  <c r="L194" i="3"/>
  <c r="K194" i="3"/>
  <c r="N193" i="3"/>
  <c r="M193" i="3"/>
  <c r="L193" i="3"/>
  <c r="K193" i="3"/>
  <c r="N192" i="3"/>
  <c r="M192" i="3"/>
  <c r="L192" i="3"/>
  <c r="K192" i="3"/>
  <c r="N191" i="3"/>
  <c r="M191" i="3"/>
  <c r="L191" i="3"/>
  <c r="K191" i="3"/>
  <c r="N190" i="3"/>
  <c r="M190" i="3"/>
  <c r="L190" i="3"/>
  <c r="K190" i="3"/>
  <c r="N189" i="3"/>
  <c r="M189" i="3"/>
  <c r="L189" i="3"/>
  <c r="K189" i="3"/>
  <c r="N188" i="3"/>
  <c r="M188" i="3"/>
  <c r="L188" i="3"/>
  <c r="K188" i="3"/>
  <c r="N187" i="3"/>
  <c r="M187" i="3"/>
  <c r="L187" i="3"/>
  <c r="K187" i="3"/>
  <c r="N186" i="3"/>
  <c r="M186" i="3"/>
  <c r="L186" i="3"/>
  <c r="K186" i="3"/>
  <c r="N185" i="3"/>
  <c r="M185" i="3"/>
  <c r="L185" i="3"/>
  <c r="K185" i="3"/>
  <c r="N184" i="3"/>
  <c r="M184" i="3"/>
  <c r="L184" i="3"/>
  <c r="K184" i="3"/>
  <c r="N183" i="3"/>
  <c r="M183" i="3"/>
  <c r="L183" i="3"/>
  <c r="K183" i="3"/>
  <c r="N182" i="3"/>
  <c r="M182" i="3"/>
  <c r="L182" i="3"/>
  <c r="K182" i="3"/>
  <c r="N181" i="3"/>
  <c r="M181" i="3"/>
  <c r="L181" i="3"/>
  <c r="K181" i="3"/>
  <c r="N180" i="3"/>
  <c r="M180" i="3"/>
  <c r="L180" i="3"/>
  <c r="K180" i="3"/>
  <c r="N179" i="3"/>
  <c r="M179" i="3"/>
  <c r="L179" i="3"/>
  <c r="K179" i="3"/>
  <c r="N178" i="3"/>
  <c r="M178" i="3"/>
  <c r="L178" i="3"/>
  <c r="K178" i="3"/>
  <c r="N177" i="3"/>
  <c r="M177" i="3"/>
  <c r="L177" i="3"/>
  <c r="K177" i="3"/>
  <c r="N176" i="3"/>
  <c r="M176" i="3"/>
  <c r="L176" i="3"/>
  <c r="K176" i="3"/>
  <c r="N175" i="3"/>
  <c r="M175" i="3"/>
  <c r="L175" i="3"/>
  <c r="K175" i="3"/>
  <c r="N174" i="3"/>
  <c r="M174" i="3"/>
  <c r="L174" i="3"/>
  <c r="K174" i="3"/>
  <c r="N173" i="3"/>
  <c r="M173" i="3"/>
  <c r="L173" i="3"/>
  <c r="K173" i="3"/>
  <c r="N172" i="3"/>
  <c r="M172" i="3"/>
  <c r="L172" i="3"/>
  <c r="K172" i="3"/>
  <c r="N171" i="3"/>
  <c r="M171" i="3"/>
  <c r="L171" i="3"/>
  <c r="K171" i="3"/>
  <c r="N170" i="3"/>
  <c r="M170" i="3"/>
  <c r="L170" i="3"/>
  <c r="K170" i="3"/>
  <c r="N169" i="3"/>
  <c r="M169" i="3"/>
  <c r="L169" i="3"/>
  <c r="K169" i="3"/>
  <c r="N168" i="3"/>
  <c r="M168" i="3"/>
  <c r="L168" i="3"/>
  <c r="K168" i="3"/>
  <c r="N167" i="3"/>
  <c r="M167" i="3"/>
  <c r="L167" i="3"/>
  <c r="K167" i="3"/>
  <c r="N166" i="3"/>
  <c r="M166" i="3"/>
  <c r="L166" i="3"/>
  <c r="K166" i="3"/>
  <c r="N165" i="3"/>
  <c r="M165" i="3"/>
  <c r="L165" i="3"/>
  <c r="K165" i="3"/>
  <c r="N164" i="3"/>
  <c r="M164" i="3"/>
  <c r="L164" i="3"/>
  <c r="K164" i="3"/>
  <c r="N163" i="3"/>
  <c r="M163" i="3"/>
  <c r="L163" i="3"/>
  <c r="K163" i="3"/>
  <c r="N162" i="3"/>
  <c r="M162" i="3"/>
  <c r="L162" i="3"/>
  <c r="K162" i="3"/>
  <c r="N161" i="3"/>
  <c r="M161" i="3"/>
  <c r="L161" i="3"/>
  <c r="K161" i="3"/>
  <c r="N160" i="3"/>
  <c r="M160" i="3"/>
  <c r="L160" i="3"/>
  <c r="K160" i="3"/>
  <c r="N159" i="3"/>
  <c r="M159" i="3"/>
  <c r="L159" i="3"/>
  <c r="K159" i="3"/>
  <c r="N158" i="3"/>
  <c r="M158" i="3"/>
  <c r="L158" i="3"/>
  <c r="K158" i="3"/>
  <c r="N157" i="3"/>
  <c r="M157" i="3"/>
  <c r="L157" i="3"/>
  <c r="K157" i="3"/>
  <c r="N156" i="3"/>
  <c r="M156" i="3"/>
  <c r="L156" i="3"/>
  <c r="K156" i="3"/>
  <c r="N155" i="3"/>
  <c r="M155" i="3"/>
  <c r="L155" i="3"/>
  <c r="K155" i="3"/>
  <c r="N154" i="3"/>
  <c r="M154" i="3"/>
  <c r="L154" i="3"/>
  <c r="K154" i="3"/>
  <c r="N153" i="3"/>
  <c r="M153" i="3"/>
  <c r="L153" i="3"/>
  <c r="K153" i="3"/>
  <c r="N152" i="3"/>
  <c r="M152" i="3"/>
  <c r="L152" i="3"/>
  <c r="K152" i="3"/>
  <c r="N151" i="3"/>
  <c r="M151" i="3"/>
  <c r="L151" i="3"/>
  <c r="K151" i="3"/>
  <c r="N150" i="3"/>
  <c r="M150" i="3"/>
  <c r="L150" i="3"/>
  <c r="K150" i="3"/>
  <c r="N149" i="3"/>
  <c r="M149" i="3"/>
  <c r="L149" i="3"/>
  <c r="K149" i="3"/>
  <c r="N148" i="3"/>
  <c r="M148" i="3"/>
  <c r="L148" i="3"/>
  <c r="K148" i="3"/>
  <c r="N147" i="3"/>
  <c r="M147" i="3"/>
  <c r="L147" i="3"/>
  <c r="K147" i="3"/>
  <c r="N146" i="3"/>
  <c r="M146" i="3"/>
  <c r="L146" i="3"/>
  <c r="K146" i="3"/>
  <c r="N145" i="3"/>
  <c r="M145" i="3"/>
  <c r="L145" i="3"/>
  <c r="K145" i="3"/>
  <c r="N144" i="3"/>
  <c r="M144" i="3"/>
  <c r="L144" i="3"/>
  <c r="K144" i="3"/>
  <c r="N143" i="3"/>
  <c r="M143" i="3"/>
  <c r="L143" i="3"/>
  <c r="K143" i="3"/>
  <c r="N142" i="3"/>
  <c r="M142" i="3"/>
  <c r="L142" i="3"/>
  <c r="K142" i="3"/>
  <c r="N141" i="3"/>
  <c r="M141" i="3"/>
  <c r="L141" i="3"/>
  <c r="K141" i="3"/>
  <c r="N140" i="3"/>
  <c r="M140" i="3"/>
  <c r="L140" i="3"/>
  <c r="K140" i="3"/>
  <c r="N139" i="3"/>
  <c r="M139" i="3"/>
  <c r="L139" i="3"/>
  <c r="K139" i="3"/>
  <c r="N138" i="3"/>
  <c r="M138" i="3"/>
  <c r="L138" i="3"/>
  <c r="K138" i="3"/>
  <c r="N137" i="3"/>
  <c r="M137" i="3"/>
  <c r="L137" i="3"/>
  <c r="K137" i="3"/>
  <c r="N136" i="3"/>
  <c r="M136" i="3"/>
  <c r="L136" i="3"/>
  <c r="K136" i="3"/>
  <c r="N135" i="3"/>
  <c r="M135" i="3"/>
  <c r="L135" i="3"/>
  <c r="K135" i="3"/>
  <c r="N134" i="3"/>
  <c r="M134" i="3"/>
  <c r="L134" i="3"/>
  <c r="K134" i="3"/>
  <c r="N133" i="3"/>
  <c r="M133" i="3"/>
  <c r="L133" i="3"/>
  <c r="K133" i="3"/>
  <c r="N132" i="3"/>
  <c r="M132" i="3"/>
  <c r="L132" i="3"/>
  <c r="K132" i="3"/>
  <c r="N131" i="3"/>
  <c r="M131" i="3"/>
  <c r="L131" i="3"/>
  <c r="K131" i="3"/>
  <c r="N130" i="3"/>
  <c r="M130" i="3"/>
  <c r="L130" i="3"/>
  <c r="K130" i="3"/>
  <c r="N129" i="3"/>
  <c r="M129" i="3"/>
  <c r="L129" i="3"/>
  <c r="K129" i="3"/>
  <c r="N128" i="3"/>
  <c r="M128" i="3"/>
  <c r="L128" i="3"/>
  <c r="K128" i="3"/>
  <c r="N127" i="3"/>
  <c r="M127" i="3"/>
  <c r="L127" i="3"/>
  <c r="K127" i="3"/>
  <c r="N126" i="3"/>
  <c r="M126" i="3"/>
  <c r="L126" i="3"/>
  <c r="K126" i="3"/>
  <c r="N125" i="3"/>
  <c r="M125" i="3"/>
  <c r="L125" i="3"/>
  <c r="K125" i="3"/>
  <c r="N124" i="3"/>
  <c r="M124" i="3"/>
  <c r="L124" i="3"/>
  <c r="K124" i="3"/>
  <c r="N123" i="3"/>
  <c r="M123" i="3"/>
  <c r="L123" i="3"/>
  <c r="K123" i="3"/>
  <c r="N122" i="3"/>
  <c r="M122" i="3"/>
  <c r="L122" i="3"/>
  <c r="K122" i="3"/>
  <c r="N121" i="3"/>
  <c r="M121" i="3"/>
  <c r="L121" i="3"/>
  <c r="K121" i="3"/>
  <c r="N120" i="3"/>
  <c r="M120" i="3"/>
  <c r="L120" i="3"/>
  <c r="K120" i="3"/>
  <c r="N119" i="3"/>
  <c r="M119" i="3"/>
  <c r="L119" i="3"/>
  <c r="K119" i="3"/>
  <c r="N118" i="3"/>
  <c r="M118" i="3"/>
  <c r="L118" i="3"/>
  <c r="K118" i="3"/>
  <c r="N117" i="3"/>
  <c r="M117" i="3"/>
  <c r="L117" i="3"/>
  <c r="K117" i="3"/>
  <c r="N116" i="3"/>
  <c r="M116" i="3"/>
  <c r="L116" i="3"/>
  <c r="K116" i="3"/>
  <c r="N115" i="3"/>
  <c r="M115" i="3"/>
  <c r="L115" i="3"/>
  <c r="K115" i="3"/>
  <c r="N114" i="3"/>
  <c r="M114" i="3"/>
  <c r="L114" i="3"/>
  <c r="K114" i="3"/>
  <c r="N113" i="3"/>
  <c r="M113" i="3"/>
  <c r="L113" i="3"/>
  <c r="K113" i="3"/>
  <c r="N112" i="3"/>
  <c r="M112" i="3"/>
  <c r="L112" i="3"/>
  <c r="K112" i="3"/>
  <c r="N111" i="3"/>
  <c r="M111" i="3"/>
  <c r="L111" i="3"/>
  <c r="K111" i="3"/>
  <c r="N110" i="3"/>
  <c r="M110" i="3"/>
  <c r="L110" i="3"/>
  <c r="K110" i="3"/>
  <c r="N109" i="3"/>
  <c r="M109" i="3"/>
  <c r="L109" i="3"/>
  <c r="K109" i="3"/>
  <c r="N108" i="3"/>
  <c r="M108" i="3"/>
  <c r="L108" i="3"/>
  <c r="K108" i="3"/>
  <c r="N107" i="3"/>
  <c r="M107" i="3"/>
  <c r="L107" i="3"/>
  <c r="K107" i="3"/>
  <c r="N106" i="3"/>
  <c r="M106" i="3"/>
  <c r="L106" i="3"/>
  <c r="K106" i="3"/>
  <c r="N105" i="3"/>
  <c r="M105" i="3"/>
  <c r="L105" i="3"/>
  <c r="K105" i="3"/>
  <c r="N104" i="3"/>
  <c r="M104" i="3"/>
  <c r="L104" i="3"/>
  <c r="K104" i="3"/>
  <c r="N103" i="3"/>
  <c r="M103" i="3"/>
  <c r="L103" i="3"/>
  <c r="K103" i="3"/>
  <c r="N102" i="3"/>
  <c r="M102" i="3"/>
  <c r="L102" i="3"/>
  <c r="K102" i="3"/>
  <c r="N101" i="3"/>
  <c r="M101" i="3"/>
  <c r="L101" i="3"/>
  <c r="K101" i="3"/>
  <c r="N100" i="3"/>
  <c r="M100" i="3"/>
  <c r="L100" i="3"/>
  <c r="K100" i="3"/>
  <c r="N99" i="3"/>
  <c r="M99" i="3"/>
  <c r="L99" i="3"/>
  <c r="K99" i="3"/>
  <c r="N98" i="3"/>
  <c r="M98" i="3"/>
  <c r="L98" i="3"/>
  <c r="K98" i="3"/>
  <c r="N97" i="3"/>
  <c r="M97" i="3"/>
  <c r="L97" i="3"/>
  <c r="K97" i="3"/>
  <c r="N96" i="3"/>
  <c r="M96" i="3"/>
  <c r="L96" i="3"/>
  <c r="K96" i="3"/>
  <c r="N95" i="3"/>
  <c r="M95" i="3"/>
  <c r="L95" i="3"/>
  <c r="K95" i="3"/>
  <c r="N94" i="3"/>
  <c r="M94" i="3"/>
  <c r="L94" i="3"/>
  <c r="K94" i="3"/>
  <c r="N93" i="3"/>
  <c r="M93" i="3"/>
  <c r="L93" i="3"/>
  <c r="K93" i="3"/>
  <c r="N92" i="3"/>
  <c r="M92" i="3"/>
  <c r="L92" i="3"/>
  <c r="K92" i="3"/>
  <c r="N91" i="3"/>
  <c r="M91" i="3"/>
  <c r="L91" i="3"/>
  <c r="K91" i="3"/>
  <c r="N90" i="3"/>
  <c r="M90" i="3"/>
  <c r="L90" i="3"/>
  <c r="K90" i="3"/>
  <c r="N89" i="3"/>
  <c r="M89" i="3"/>
  <c r="L89" i="3"/>
  <c r="K89" i="3"/>
  <c r="N88" i="3"/>
  <c r="M88" i="3"/>
  <c r="L88" i="3"/>
  <c r="K88" i="3"/>
  <c r="N87" i="3"/>
  <c r="M87" i="3"/>
  <c r="L87" i="3"/>
  <c r="K87" i="3"/>
  <c r="N86" i="3"/>
  <c r="M86" i="3"/>
  <c r="L86" i="3"/>
  <c r="K86" i="3"/>
  <c r="N85" i="3"/>
  <c r="M85" i="3"/>
  <c r="L85" i="3"/>
  <c r="K85" i="3"/>
  <c r="N84" i="3"/>
  <c r="M84" i="3"/>
  <c r="L84" i="3"/>
  <c r="K84" i="3"/>
  <c r="N83" i="3"/>
  <c r="M83" i="3"/>
  <c r="L83" i="3"/>
  <c r="K83" i="3"/>
  <c r="N82" i="3"/>
  <c r="M82" i="3"/>
  <c r="L82" i="3"/>
  <c r="K82" i="3"/>
  <c r="N81" i="3"/>
  <c r="M81" i="3"/>
  <c r="L81" i="3"/>
  <c r="K81" i="3"/>
  <c r="N80" i="3"/>
  <c r="M80" i="3"/>
  <c r="L80" i="3"/>
  <c r="K80" i="3"/>
  <c r="N79" i="3"/>
  <c r="M79" i="3"/>
  <c r="L79" i="3"/>
  <c r="K79" i="3"/>
  <c r="N78" i="3"/>
  <c r="M78" i="3"/>
  <c r="L78" i="3"/>
  <c r="K78" i="3"/>
  <c r="N77" i="3"/>
  <c r="M77" i="3"/>
  <c r="L77" i="3"/>
  <c r="K77" i="3"/>
  <c r="N76" i="3"/>
  <c r="M76" i="3"/>
  <c r="L76" i="3"/>
  <c r="K76" i="3"/>
  <c r="N75" i="3"/>
  <c r="M75" i="3"/>
  <c r="L75" i="3"/>
  <c r="K75" i="3"/>
  <c r="N74" i="3"/>
  <c r="M74" i="3"/>
  <c r="L74" i="3"/>
  <c r="K74" i="3"/>
  <c r="N73" i="3"/>
  <c r="M73" i="3"/>
  <c r="L73" i="3"/>
  <c r="K73" i="3"/>
  <c r="N72" i="3"/>
  <c r="M72" i="3"/>
  <c r="L72" i="3"/>
  <c r="K72" i="3"/>
  <c r="N71" i="3"/>
  <c r="M71" i="3"/>
  <c r="L71" i="3"/>
  <c r="K71" i="3"/>
  <c r="N70" i="3"/>
  <c r="M70" i="3"/>
  <c r="L70" i="3"/>
  <c r="K70" i="3"/>
  <c r="N69" i="3"/>
  <c r="M69" i="3"/>
  <c r="L69" i="3"/>
  <c r="K69" i="3"/>
  <c r="N68" i="3"/>
  <c r="M68" i="3"/>
  <c r="L68" i="3"/>
  <c r="K68" i="3"/>
  <c r="N67" i="3"/>
  <c r="M67" i="3"/>
  <c r="L67" i="3"/>
  <c r="K67" i="3"/>
  <c r="N66" i="3"/>
  <c r="M66" i="3"/>
  <c r="L66" i="3"/>
  <c r="K66" i="3"/>
  <c r="N65" i="3"/>
  <c r="M65" i="3"/>
  <c r="L65" i="3"/>
  <c r="K65" i="3"/>
  <c r="N64" i="3"/>
  <c r="M64" i="3"/>
  <c r="L64" i="3"/>
  <c r="K64" i="3"/>
  <c r="N63" i="3"/>
  <c r="M63" i="3"/>
  <c r="L63" i="3"/>
  <c r="K63" i="3"/>
  <c r="N62" i="3"/>
  <c r="M62" i="3"/>
  <c r="L62" i="3"/>
  <c r="K62" i="3"/>
  <c r="N61" i="3"/>
  <c r="M61" i="3"/>
  <c r="L61" i="3"/>
  <c r="K61" i="3"/>
  <c r="N60" i="3"/>
  <c r="M60" i="3"/>
  <c r="L60" i="3"/>
  <c r="K60" i="3"/>
  <c r="N59" i="3"/>
  <c r="M59" i="3"/>
  <c r="L59" i="3"/>
  <c r="K59" i="3"/>
  <c r="N58" i="3"/>
  <c r="M58" i="3"/>
  <c r="L58" i="3"/>
  <c r="K58" i="3"/>
  <c r="N57" i="3"/>
  <c r="M57" i="3"/>
  <c r="L57" i="3"/>
  <c r="K57" i="3"/>
  <c r="N56" i="3"/>
  <c r="M56" i="3"/>
  <c r="L56" i="3"/>
  <c r="K56" i="3"/>
  <c r="N55" i="3"/>
  <c r="M55" i="3"/>
  <c r="L55" i="3"/>
  <c r="K55" i="3"/>
  <c r="N54" i="3"/>
  <c r="M54" i="3"/>
  <c r="L54" i="3"/>
  <c r="K54" i="3"/>
  <c r="N53" i="3"/>
  <c r="M53" i="3"/>
  <c r="L53" i="3"/>
  <c r="K53" i="3"/>
  <c r="N52" i="3"/>
  <c r="M52" i="3"/>
  <c r="L52" i="3"/>
  <c r="K52" i="3"/>
  <c r="N51" i="3"/>
  <c r="M51" i="3"/>
  <c r="L51" i="3"/>
  <c r="K51" i="3"/>
  <c r="N50" i="3"/>
  <c r="M50" i="3"/>
  <c r="L50" i="3"/>
  <c r="K50" i="3"/>
  <c r="N49" i="3"/>
  <c r="M49" i="3"/>
  <c r="L49" i="3"/>
  <c r="K49" i="3"/>
  <c r="N48" i="3"/>
  <c r="M48" i="3"/>
  <c r="L48" i="3"/>
  <c r="K48" i="3"/>
  <c r="N47" i="3"/>
  <c r="M47" i="3"/>
  <c r="L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M43" i="3"/>
  <c r="L43" i="3"/>
  <c r="K43" i="3"/>
  <c r="N42" i="3"/>
  <c r="M42" i="3"/>
  <c r="L42" i="3"/>
  <c r="K42" i="3"/>
  <c r="N41" i="3"/>
  <c r="M41" i="3"/>
  <c r="L41" i="3"/>
  <c r="K41" i="3"/>
  <c r="N40" i="3"/>
  <c r="M40" i="3"/>
  <c r="L40" i="3"/>
  <c r="K40" i="3"/>
  <c r="N39" i="3"/>
  <c r="M39" i="3"/>
  <c r="L39" i="3"/>
  <c r="K39" i="3"/>
  <c r="N38" i="3"/>
  <c r="M38" i="3"/>
  <c r="L38" i="3"/>
  <c r="K38" i="3"/>
  <c r="N37" i="3"/>
  <c r="M37" i="3"/>
  <c r="L37" i="3"/>
  <c r="K37" i="3"/>
  <c r="N36" i="3"/>
  <c r="M36" i="3"/>
  <c r="L36" i="3"/>
  <c r="K36" i="3"/>
  <c r="N35" i="3"/>
  <c r="M35" i="3"/>
  <c r="L35" i="3"/>
  <c r="K35" i="3"/>
  <c r="N34" i="3"/>
  <c r="M34" i="3"/>
  <c r="L34" i="3"/>
  <c r="K34" i="3"/>
  <c r="N33" i="3"/>
  <c r="M33" i="3"/>
  <c r="L33" i="3"/>
  <c r="K33" i="3"/>
  <c r="N32" i="3"/>
  <c r="M32" i="3"/>
  <c r="L32" i="3"/>
  <c r="K32" i="3"/>
  <c r="N31" i="3"/>
  <c r="M31" i="3"/>
  <c r="L31" i="3"/>
  <c r="K31" i="3"/>
  <c r="N30" i="3"/>
  <c r="M30" i="3"/>
  <c r="L30" i="3"/>
  <c r="K30" i="3"/>
  <c r="N29" i="3"/>
  <c r="M29" i="3"/>
  <c r="L29" i="3"/>
  <c r="K29" i="3"/>
  <c r="N28" i="3"/>
  <c r="M28" i="3"/>
  <c r="L28" i="3"/>
  <c r="K28" i="3"/>
  <c r="N27" i="3"/>
  <c r="M27" i="3"/>
  <c r="L27" i="3"/>
  <c r="K27" i="3"/>
  <c r="N26" i="3"/>
  <c r="M26" i="3"/>
  <c r="L26" i="3"/>
  <c r="K26" i="3"/>
  <c r="N25" i="3"/>
  <c r="M25" i="3"/>
  <c r="L25" i="3"/>
  <c r="K25" i="3"/>
  <c r="N24" i="3"/>
  <c r="M24" i="3"/>
  <c r="L24" i="3"/>
  <c r="K24" i="3"/>
  <c r="N23" i="3"/>
  <c r="M23" i="3"/>
  <c r="L23" i="3"/>
  <c r="K23" i="3"/>
  <c r="N22" i="3"/>
  <c r="M22" i="3"/>
  <c r="L22" i="3"/>
  <c r="K22" i="3"/>
  <c r="N21" i="3"/>
  <c r="M21" i="3"/>
  <c r="L21" i="3"/>
  <c r="K21" i="3"/>
  <c r="N20" i="3"/>
  <c r="M20" i="3"/>
  <c r="L20" i="3"/>
  <c r="K20" i="3"/>
  <c r="N19" i="3"/>
  <c r="M19" i="3"/>
  <c r="L19" i="3"/>
  <c r="K19" i="3"/>
  <c r="N18" i="3"/>
  <c r="M18" i="3"/>
  <c r="L18" i="3"/>
  <c r="K18" i="3"/>
  <c r="N17" i="3"/>
  <c r="M17" i="3"/>
  <c r="L17" i="3"/>
  <c r="K17" i="3"/>
  <c r="N16" i="3"/>
  <c r="M16" i="3"/>
  <c r="L16" i="3"/>
  <c r="K16" i="3"/>
  <c r="N15" i="3"/>
  <c r="M15" i="3"/>
  <c r="L15" i="3"/>
  <c r="K15" i="3"/>
  <c r="N14" i="3"/>
  <c r="M14" i="3"/>
  <c r="L14" i="3"/>
  <c r="K14" i="3"/>
  <c r="N13" i="3"/>
  <c r="M13" i="3"/>
  <c r="L13" i="3"/>
  <c r="K13" i="3"/>
  <c r="N12" i="3"/>
  <c r="M12" i="3"/>
  <c r="L12" i="3"/>
  <c r="K12" i="3"/>
  <c r="N11" i="3"/>
  <c r="M11" i="3"/>
  <c r="L11" i="3"/>
  <c r="K11" i="3"/>
  <c r="N10" i="3"/>
  <c r="M10" i="3"/>
  <c r="L10" i="3"/>
  <c r="K10" i="3"/>
  <c r="N9" i="3"/>
  <c r="M9" i="3"/>
  <c r="L9" i="3"/>
  <c r="K9" i="3"/>
  <c r="N8" i="3"/>
  <c r="M8" i="3"/>
  <c r="L8" i="3"/>
  <c r="K8" i="3"/>
  <c r="N7" i="3"/>
  <c r="M7" i="3"/>
  <c r="L7" i="3"/>
  <c r="K7" i="3"/>
  <c r="N6" i="3"/>
  <c r="M6" i="3"/>
  <c r="L6" i="3"/>
  <c r="K6" i="3"/>
  <c r="N5" i="3"/>
  <c r="M5" i="3"/>
  <c r="L5" i="3"/>
  <c r="K5" i="3"/>
  <c r="N4" i="3"/>
  <c r="M4" i="3"/>
  <c r="L4" i="3"/>
  <c r="K4" i="3"/>
  <c r="N3" i="3"/>
  <c r="M3" i="3"/>
  <c r="L3" i="3"/>
  <c r="K3" i="3"/>
  <c r="N2" i="3"/>
  <c r="M2" i="3"/>
  <c r="L2" i="3"/>
  <c r="K2" i="3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4" i="10"/>
  <c r="L4" i="10"/>
  <c r="M3" i="10"/>
  <c r="L3" i="10"/>
  <c r="M2" i="10"/>
  <c r="L2" i="10"/>
  <c r="U6" i="9"/>
  <c r="O6" i="9"/>
  <c r="I6" i="9"/>
  <c r="C6" i="9"/>
</calcChain>
</file>

<file path=xl/sharedStrings.xml><?xml version="1.0" encoding="utf-8"?>
<sst xmlns="http://schemas.openxmlformats.org/spreadsheetml/2006/main" count="5697" uniqueCount="567">
  <si>
    <t>Project Title</t>
  </si>
  <si>
    <t>Semiconductor Industry Intelligence Dashboard — a one-page interactive Excel dashboard that lets any viewer slice through 5 datasets and instantly understand where the global chip industry is, where it is going, and what risks threaten it.</t>
  </si>
  <si>
    <t>Project Objective</t>
  </si>
  <si>
    <t>To analyse and visualise the global semiconductor industry across four dimensions — AI chip market dynamics, company financial performance, worldwide fab manufacturing capacity, and geopolitical export control risks — so that a hiring manager or business stakeholder can make informed decisions by interacting with a single dashboard.</t>
  </si>
  <si>
    <t>Four business questions this dashboard answers</t>
  </si>
  <si>
    <t>Which AI chip vendors are winning the market, and how fast is revenue growing?</t>
  </si>
  <si>
    <t>Which companies are financially strongest — who has the best margins, highest R&amp;D investment, and most efficient capex?</t>
  </si>
  <si>
    <t>How is global semiconductor manufacturing capacity distributed — which countries and process nodes dominate?</t>
  </si>
  <si>
    <t>How are US-China export controls escalating, and what is their severity over time?</t>
  </si>
  <si>
    <t>SEMICONDUCTOR INDUSTRY INTELLIGENCE DASHBOARD</t>
  </si>
  <si>
    <t>GLOBAL SEMICONDUCTOR ANALYSIS | 5 REAL DATASETS  | KAGGLE</t>
  </si>
  <si>
    <t>Total Industry Revenue 2024</t>
  </si>
  <si>
    <t>Highest Op. margin 2024</t>
  </si>
  <si>
    <t>NVIDIA H100  Peak Price</t>
  </si>
  <si>
    <t>Export Control Actions</t>
  </si>
  <si>
    <t>Year</t>
  </si>
  <si>
    <t>Chip_Name</t>
  </si>
  <si>
    <t>Vendor</t>
  </si>
  <si>
    <t>Launch_Date</t>
  </si>
  <si>
    <t>Memory_gb</t>
  </si>
  <si>
    <t>fp16_tflops</t>
  </si>
  <si>
    <t>tdp_watts</t>
  </si>
  <si>
    <t>Estimated_shipments_units</t>
  </si>
  <si>
    <t>Estimated_asp_usd</t>
  </si>
  <si>
    <t>Estimated_revenue_usd_m</t>
  </si>
  <si>
    <t>description</t>
  </si>
  <si>
    <t>Revenue Category</t>
  </si>
  <si>
    <t>Perf_Per_Watt</t>
  </si>
  <si>
    <t>NVIDIA V100</t>
  </si>
  <si>
    <t>NVIDIA</t>
  </si>
  <si>
    <t>Volta data center GPU</t>
  </si>
  <si>
    <t>NVIDIA A100</t>
  </si>
  <si>
    <t>Ampere, ML training standard 2020-2022</t>
  </si>
  <si>
    <t>NVIDIA H100</t>
  </si>
  <si>
    <t>Hopper, defined 2023-2024 AI boom</t>
  </si>
  <si>
    <t>NVIDIA H200</t>
  </si>
  <si>
    <t>Hopper refresh, 141GB HBM3e</t>
  </si>
  <si>
    <t>NVIDIA L40S</t>
  </si>
  <si>
    <t>Ada Lovelace inference</t>
  </si>
  <si>
    <t>NVIDIA B200</t>
  </si>
  <si>
    <t>Blackwell, GB200 dominant 2025</t>
  </si>
  <si>
    <t>NVIDIA GB200</t>
  </si>
  <si>
    <t>Blackwell superchip dual B200</t>
  </si>
  <si>
    <t>NVIDIA B300</t>
  </si>
  <si>
    <t>Blackwell Ultra</t>
  </si>
  <si>
    <t>AMD MI250X</t>
  </si>
  <si>
    <t>AMD</t>
  </si>
  <si>
    <t>CDNA2, used in Frontier supercomputer</t>
  </si>
  <si>
    <t>AMD MI300X</t>
  </si>
  <si>
    <t>CDNA3, primary H100 competitor</t>
  </si>
  <si>
    <t>AMD MI325X</t>
  </si>
  <si>
    <t>MI300X refresh</t>
  </si>
  <si>
    <t>AMD MI350</t>
  </si>
  <si>
    <t>CDNA4 Blackwell competitor</t>
  </si>
  <si>
    <t>Google TPU v3</t>
  </si>
  <si>
    <t>Google</t>
  </si>
  <si>
    <t>Internal-only TPU</t>
  </si>
  <si>
    <t>Google TPU v4</t>
  </si>
  <si>
    <t>TPU v4 pod 4096 chips</t>
  </si>
  <si>
    <t>Google TPU v5e</t>
  </si>
  <si>
    <t>Cost-efficient TPU</t>
  </si>
  <si>
    <t>Google TPU v5p</t>
  </si>
  <si>
    <t>Production TPU</t>
  </si>
  <si>
    <t>Google TPU v6 Trillium</t>
  </si>
  <si>
    <t>6th gen TPU</t>
  </si>
  <si>
    <t>Google TPU v7</t>
  </si>
  <si>
    <t>TPU v7 announcement</t>
  </si>
  <si>
    <t>AWS Trainium2</t>
  </si>
  <si>
    <t>AWS</t>
  </si>
  <si>
    <t>AWS custom training silicon</t>
  </si>
  <si>
    <t>AWS Inferentia2</t>
  </si>
  <si>
    <t>AWS custom inference</t>
  </si>
  <si>
    <t>Cerebras WSE-3</t>
  </si>
  <si>
    <t>Cerebras</t>
  </si>
  <si>
    <t>Wafer-scale 4 trillion transistors</t>
  </si>
  <si>
    <t>Groq LPU</t>
  </si>
  <si>
    <t>Groq</t>
  </si>
  <si>
    <t>Inference-optimized</t>
  </si>
  <si>
    <t>SambaNova SN40L</t>
  </si>
  <si>
    <t>SambaNova</t>
  </si>
  <si>
    <t>Reconfigurable dataflow</t>
  </si>
  <si>
    <t>Tenstorrent Blackhole</t>
  </si>
  <si>
    <t>Tenstorrent</t>
  </si>
  <si>
    <t>RISC-V based</t>
  </si>
  <si>
    <t>Huawei Ascend 910</t>
  </si>
  <si>
    <t>Huawei</t>
  </si>
  <si>
    <t>Initial Ascend, before sanctions</t>
  </si>
  <si>
    <t>Huawei Ascend 910B</t>
  </si>
  <si>
    <t>Domestic-supply chain</t>
  </si>
  <si>
    <t>Huawei Ascend 910C</t>
  </si>
  <si>
    <t>Latest Huawei, ~80% H100 performance</t>
  </si>
  <si>
    <t>Cambricon MLU370</t>
  </si>
  <si>
    <t>Cambricon</t>
  </si>
  <si>
    <t>Chinese AI accelerator</t>
  </si>
  <si>
    <t>Apple M4 (NPU)</t>
  </si>
  <si>
    <t>Apple</t>
  </si>
  <si>
    <t>Consumer NPU 38 TOPS</t>
  </si>
  <si>
    <t>Apple M5 (NPU)</t>
  </si>
  <si>
    <t>M5 NPU generation</t>
  </si>
  <si>
    <t>Company_name</t>
  </si>
  <si>
    <t>Ticker</t>
  </si>
  <si>
    <t>Country_iso3</t>
  </si>
  <si>
    <t>Segment</t>
  </si>
  <si>
    <t>Revenue_usd_bn</t>
  </si>
  <si>
    <t>Operating_margin_pct</t>
  </si>
  <si>
    <t>Operating_income_usd_bn</t>
  </si>
  <si>
    <t>Rd_spend_usd_bn</t>
  </si>
  <si>
    <t>Capex_usd_bn</t>
  </si>
  <si>
    <t>Data_Type</t>
  </si>
  <si>
    <t>RD_Intensity_pct</t>
  </si>
  <si>
    <t>Capex_Intensity_pct</t>
  </si>
  <si>
    <t>Company_Type</t>
  </si>
  <si>
    <t>TSMC</t>
  </si>
  <si>
    <t>TSM</t>
  </si>
  <si>
    <t>TWN</t>
  </si>
  <si>
    <t>foundry</t>
  </si>
  <si>
    <t>Samsung Foundry</t>
  </si>
  <si>
    <t>005930</t>
  </si>
  <si>
    <t>KOR</t>
  </si>
  <si>
    <t>GlobalFoundries</t>
  </si>
  <si>
    <t>GFS</t>
  </si>
  <si>
    <t>USA</t>
  </si>
  <si>
    <t>UMC</t>
  </si>
  <si>
    <t>SMIC</t>
  </si>
  <si>
    <t>0981</t>
  </si>
  <si>
    <t>CHN</t>
  </si>
  <si>
    <t>NVDA</t>
  </si>
  <si>
    <t>fabless_gpu</t>
  </si>
  <si>
    <t>fabless_cpu_gpu</t>
  </si>
  <si>
    <t>Qualcomm</t>
  </si>
  <si>
    <t>QCOM</t>
  </si>
  <si>
    <t>fabless_mobile</t>
  </si>
  <si>
    <t>Broadcom</t>
  </si>
  <si>
    <t>AVGO</t>
  </si>
  <si>
    <t>fabless_diversified</t>
  </si>
  <si>
    <t>MediaTek</t>
  </si>
  <si>
    <t>Marvell</t>
  </si>
  <si>
    <t>MRVL</t>
  </si>
  <si>
    <t>fabless_networking</t>
  </si>
  <si>
    <t>Intel</t>
  </si>
  <si>
    <t>INTC</t>
  </si>
  <si>
    <t>idm_cpu</t>
  </si>
  <si>
    <t>Samsung Memory</t>
  </si>
  <si>
    <t>idm_memory</t>
  </si>
  <si>
    <t>SK Hynix</t>
  </si>
  <si>
    <t>000660</t>
  </si>
  <si>
    <t>Micron</t>
  </si>
  <si>
    <t>MU</t>
  </si>
  <si>
    <t>Texas Instruments</t>
  </si>
  <si>
    <t>TXN</t>
  </si>
  <si>
    <t>idm_analog</t>
  </si>
  <si>
    <t>Analog Devices</t>
  </si>
  <si>
    <t>ADI</t>
  </si>
  <si>
    <t>Infineon</t>
  </si>
  <si>
    <t>IFX</t>
  </si>
  <si>
    <t>DEU</t>
  </si>
  <si>
    <t>idm_automotive</t>
  </si>
  <si>
    <t>STMicroelectronics</t>
  </si>
  <si>
    <t>STM</t>
  </si>
  <si>
    <t>EUR</t>
  </si>
  <si>
    <t>idm_diversified</t>
  </si>
  <si>
    <t>NXP Semiconductors</t>
  </si>
  <si>
    <t>NXPI</t>
  </si>
  <si>
    <t>NLD</t>
  </si>
  <si>
    <t>Renesas</t>
  </si>
  <si>
    <t>JPN</t>
  </si>
  <si>
    <t>Microchip</t>
  </si>
  <si>
    <t>MCHP</t>
  </si>
  <si>
    <t>idm_micro</t>
  </si>
  <si>
    <t>Onsemi</t>
  </si>
  <si>
    <t>ON</t>
  </si>
  <si>
    <t>idm_power</t>
  </si>
  <si>
    <t>ASML</t>
  </si>
  <si>
    <t>equipment_litho</t>
  </si>
  <si>
    <t>Applied Materials</t>
  </si>
  <si>
    <t>AMAT</t>
  </si>
  <si>
    <t>equipment_diversified</t>
  </si>
  <si>
    <t>Lam Research</t>
  </si>
  <si>
    <t>LRCX</t>
  </si>
  <si>
    <t>equipment_etch</t>
  </si>
  <si>
    <t>KLA</t>
  </si>
  <si>
    <t>KLAC</t>
  </si>
  <si>
    <t>equipment_inspection</t>
  </si>
  <si>
    <t>Tokyo Electron</t>
  </si>
  <si>
    <t>SCREEN Holdings</t>
  </si>
  <si>
    <t>equipment_cleaning</t>
  </si>
  <si>
    <t>Synopsys</t>
  </si>
  <si>
    <t>SNPS</t>
  </si>
  <si>
    <t>eda_software</t>
  </si>
  <si>
    <t>Cadence</t>
  </si>
  <si>
    <t>CDNS</t>
  </si>
  <si>
    <t>HiSilicon (Huawei)</t>
  </si>
  <si>
    <t>HUAWEI</t>
  </si>
  <si>
    <t>Yangtze Memory (YMTC)</t>
  </si>
  <si>
    <t>YMTC</t>
  </si>
  <si>
    <t>ChangXin Memory (CXMT)</t>
  </si>
  <si>
    <t>CXMT</t>
  </si>
  <si>
    <t>Hua Hong</t>
  </si>
  <si>
    <t>Cerebras Systems</t>
  </si>
  <si>
    <t>CRBR</t>
  </si>
  <si>
    <t>fabless_ai</t>
  </si>
  <si>
    <t>Graphcore</t>
  </si>
  <si>
    <t>GPHC</t>
  </si>
  <si>
    <t>GBR</t>
  </si>
  <si>
    <t>GROQ</t>
  </si>
  <si>
    <t>SN</t>
  </si>
  <si>
    <t>TNS</t>
  </si>
  <si>
    <t>Year_month</t>
  </si>
  <si>
    <t>Product</t>
  </si>
  <si>
    <t>Currency</t>
  </si>
  <si>
    <t>Unit</t>
  </si>
  <si>
    <t>Price</t>
  </si>
  <si>
    <t>Product_Category</t>
  </si>
  <si>
    <t>2014-01</t>
  </si>
  <si>
    <t>DRAM_DDR4_8Gb</t>
  </si>
  <si>
    <t>USD</t>
  </si>
  <si>
    <t>USD/chip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</si>
  <si>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</si>
  <si>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</si>
  <si>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</si>
  <si>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</si>
  <si>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</si>
  <si>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</si>
  <si>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</si>
  <si>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</si>
  <si>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</si>
  <si>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</si>
  <si>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</si>
  <si>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</si>
  <si>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</si>
  <si>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</si>
  <si>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</si>
  <si>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</si>
  <si>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</si>
  <si>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</si>
  <si>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</si>
  <si>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</si>
  <si>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</si>
  <si>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</si>
  <si>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</si>
  <si>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</si>
  <si>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</si>
  <si>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</si>
  <si>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</si>
  <si>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</si>
  <si>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</si>
  <si>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</si>
  <si>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</si>
  <si>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</si>
  <si>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</si>
  <si>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</si>
  <si>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</si>
  <si>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</si>
  <si>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</si>
  <si>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</si>
  <si>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</si>
  <si>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</si>
  <si>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</si>
  <si>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</si>
  <si>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</si>
  <si>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</si>
  <si>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</si>
  <si>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</si>
  <si>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</si>
  <si>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</si>
  <si>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</si>
  <si>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</si>
  <si>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</si>
  <si>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</si>
  <si>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</si>
  <si>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</si>
  <si>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</si>
  <si>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</si>
  <si>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</si>
  <si>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</si>
  <si>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</si>
  <si>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</si>
  <si>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</si>
  <si>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</si>
  <si>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</si>
  <si>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</si>
  <si>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</si>
  <si>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</si>
  <si>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</si>
  <si>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</si>
  <si>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</si>
  <si>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</si>
  <si>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</si>
  <si>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</si>
  <si>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</si>
  <si>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</si>
  <si>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</si>
  <si>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</si>
  <si>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</si>
  <si>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</si>
  <si>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</si>
  <si>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</si>
  <si>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</si>
  <si>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</si>
  <si>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</si>
  <si>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</si>
  <si>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</si>
  <si>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</si>
  <si>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</si>
  <si>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</si>
  <si>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</si>
  <si>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</si>
  <si>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</si>
  <si>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</si>
  <si>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</si>
  <si>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</si>
  <si>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</si>
  <si>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</si>
  <si>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</si>
  <si>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</si>
  <si>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</si>
  <si>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</si>
  <si>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</si>
  <si>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</si>
  <si>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</si>
  <si>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</si>
  <si>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</si>
  <si>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</si>
  <si>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</si>
  <si>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</si>
  <si>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</si>
  <si>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</si>
  <si>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</si>
  <si>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</si>
  <si>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</si>
  <si>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</si>
  <si>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</si>
  <si>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</si>
  <si>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</si>
  <si>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</si>
  <si>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</si>
  <si>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</si>
  <si>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</si>
  <si>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</si>
  <si>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</si>
  <si>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</si>
  <si>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</si>
  <si>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</si>
  <si>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</si>
  <si>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</si>
  <si>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</si>
  <si>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</si>
  <si>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</si>
  <si>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</si>
  <si>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</si>
  <si>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</si>
  <si>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</si>
  <si>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</si>
  <si>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</si>
  <si>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</si>
  <si>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</si>
  <si>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</si>
  <si>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</si>
  <si>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</si>
  <si>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</si>
  <si>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</si>
  <si>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</si>
  <si>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</si>
  <si>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</si>
  <si>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NAND_64Gb_MLC</t>
  </si>
  <si>
    <t>HBM3_stack</t>
  </si>
  <si>
    <t>USD/stack</t>
  </si>
  <si>
    <t>NVIDIA_H100</t>
  </si>
  <si>
    <t>USD/unit</t>
  </si>
  <si>
    <t>NVIDIA_B200</t>
  </si>
  <si>
    <t>Control_id</t>
  </si>
  <si>
    <t>Date</t>
  </si>
  <si>
    <t>Month</t>
  </si>
  <si>
    <t>Imposing_country</t>
  </si>
  <si>
    <t>Target</t>
  </si>
  <si>
    <t>Policy_name</t>
  </si>
  <si>
    <t>Severity_score</t>
  </si>
  <si>
    <t>Description</t>
  </si>
  <si>
    <t>Is_us_action</t>
  </si>
  <si>
    <t>Is_china_action</t>
  </si>
  <si>
    <t>Is_netherlands_action</t>
  </si>
  <si>
    <t>Is_trump_1_0</t>
  </si>
  <si>
    <t>Is_biden</t>
  </si>
  <si>
    <t>Is_trump_2_0</t>
  </si>
  <si>
    <t>Severity_Label</t>
  </si>
  <si>
    <t>Admin_Era</t>
  </si>
  <si>
    <t>EC001</t>
  </si>
  <si>
    <t>ZTE</t>
  </si>
  <si>
    <t>Entity List action</t>
  </si>
  <si>
    <t>ZTE banned then settled, $1.4B fine</t>
  </si>
  <si>
    <t>EC002</t>
  </si>
  <si>
    <t>Huawei Entity List</t>
  </si>
  <si>
    <t>Huawei + 70 affiliates banned</t>
  </si>
  <si>
    <t>EC003</t>
  </si>
  <si>
    <t>TGL granted</t>
  </si>
  <si>
    <t>90-day Temporary General License</t>
  </si>
  <si>
    <t>EC004</t>
  </si>
  <si>
    <t>FDPR Direct Product Rule</t>
  </si>
  <si>
    <t>Foreign Direct Product Rule blocks TSMC-Huawei</t>
  </si>
  <si>
    <t>EC005</t>
  </si>
  <si>
    <t>FDPR expanded</t>
  </si>
  <si>
    <t>Expanded FDPR cuts off Huawei from all chips</t>
  </si>
  <si>
    <t>EC006</t>
  </si>
  <si>
    <t>Entity List addition</t>
  </si>
  <si>
    <t>SMIC added with restricted EUV access</t>
  </si>
  <si>
    <t>EC007</t>
  </si>
  <si>
    <t>Phytium</t>
  </si>
  <si>
    <t>Supercomputer EL</t>
  </si>
  <si>
    <t>7 Chinese supercomputer firms added</t>
  </si>
  <si>
    <t>EC008</t>
  </si>
  <si>
    <t>CHIPS_Act</t>
  </si>
  <si>
    <t>CHIPS Act signed</t>
  </si>
  <si>
    <t>$52B for US chip manufacturing</t>
  </si>
  <si>
    <t>EC009</t>
  </si>
  <si>
    <t>NVIDIA_AMD</t>
  </si>
  <si>
    <t>AI chip restrictions</t>
  </si>
  <si>
    <t>A100/H100 export restrictions to China</t>
  </si>
  <si>
    <t>EC010</t>
  </si>
  <si>
    <t>BIS_China</t>
  </si>
  <si>
    <t>Comprehensive controls</t>
  </si>
  <si>
    <t>Sweeping export controls on advanced computing</t>
  </si>
  <si>
    <t>EC011</t>
  </si>
  <si>
    <t>YMTC_Entity</t>
  </si>
  <si>
    <t>YMTC + 31 companies</t>
  </si>
  <si>
    <t>YMTC Entity List, '36 Chinese entities'</t>
  </si>
  <si>
    <t>EC012</t>
  </si>
  <si>
    <t>Netherlands_Japan</t>
  </si>
  <si>
    <t>ASML/Tokyo Electron deal</t>
  </si>
  <si>
    <t>NL/JP agree on chip equipment restrictions</t>
  </si>
  <si>
    <t>EC013</t>
  </si>
  <si>
    <t>EUV restrictions</t>
  </si>
  <si>
    <t>Dutch formalize ASML export rules</t>
  </si>
  <si>
    <t>EC014</t>
  </si>
  <si>
    <t>Micron security review</t>
  </si>
  <si>
    <t>China bans Micron from critical infrastructure</t>
  </si>
  <si>
    <t>EC015</t>
  </si>
  <si>
    <t>Gallium_Germ</t>
  </si>
  <si>
    <t>Export controls Ga/Ge</t>
  </si>
  <si>
    <t>China restricts gallium/germanium exports</t>
  </si>
  <si>
    <t>EC016</t>
  </si>
  <si>
    <t>Outbound_Investment</t>
  </si>
  <si>
    <t>Executive Order outbound</t>
  </si>
  <si>
    <t>Restricting US investment in Chinese chip companies</t>
  </si>
  <si>
    <t>EC017</t>
  </si>
  <si>
    <t>BIS_update_2023</t>
  </si>
  <si>
    <t>October 2023 rules update</t>
  </si>
  <si>
    <t>H100/H800 restrictions, new licensing</t>
  </si>
  <si>
    <t>EC018</t>
  </si>
  <si>
    <t>Rare_Earths</t>
  </si>
  <si>
    <t>Rare earth tech export ban</t>
  </si>
  <si>
    <t>China bans REE processing tech exports</t>
  </si>
  <si>
    <t>EC019</t>
  </si>
  <si>
    <t>BIS_update_2024</t>
  </si>
  <si>
    <t>Additional restrictions</t>
  </si>
  <si>
    <t>AI chip rules tightened further</t>
  </si>
  <si>
    <t>EC020</t>
  </si>
  <si>
    <t>Huawei_License</t>
  </si>
  <si>
    <t>Revokes Huawei licenses</t>
  </si>
  <si>
    <t>Intel/Qualcomm Huawei licenses revoked</t>
  </si>
  <si>
    <t>EC021</t>
  </si>
  <si>
    <t>Antimony</t>
  </si>
  <si>
    <t>Antimony export controls</t>
  </si>
  <si>
    <t>Critical minerals restrictions</t>
  </si>
  <si>
    <t>EC022</t>
  </si>
  <si>
    <t>Quantum_Semis</t>
  </si>
  <si>
    <t>Quantum/EGaN restrictions</t>
  </si>
  <si>
    <t>Bilateral with NL/DE/JP</t>
  </si>
  <si>
    <t>EC023</t>
  </si>
  <si>
    <t>December_2024_rules</t>
  </si>
  <si>
    <t>Dec 2024 sweeping rules</t>
  </si>
  <si>
    <t>24 Chinese fab equip companies, HBM rules</t>
  </si>
  <si>
    <t>EC024</t>
  </si>
  <si>
    <t>Ga_Ge_Sb_total</t>
  </si>
  <si>
    <t>Total ban critical minerals</t>
  </si>
  <si>
    <t>Total ban Ga/Ge/Sb to US</t>
  </si>
  <si>
    <t>EC025</t>
  </si>
  <si>
    <t>Biden_AI_Diffusion</t>
  </si>
  <si>
    <t>AI Diffusion Rule</t>
  </si>
  <si>
    <t>Tier 1/2/3 country restrictions</t>
  </si>
  <si>
    <t>EC026</t>
  </si>
  <si>
    <t>H20_restricted</t>
  </si>
  <si>
    <t>H20 export controls</t>
  </si>
  <si>
    <t>NVIDIA H20 chip blocked from China</t>
  </si>
  <si>
    <t>EC027</t>
  </si>
  <si>
    <t>Section_232_semis</t>
  </si>
  <si>
    <t>Section 232 chip investigation</t>
  </si>
  <si>
    <t>Trump tariff investigation begins</t>
  </si>
  <si>
    <t>EC028</t>
  </si>
  <si>
    <t>REE_heavy</t>
  </si>
  <si>
    <t>Heavy REE licensing</t>
  </si>
  <si>
    <t>Dysprosium/terbium export licensing</t>
  </si>
  <si>
    <t>EC029</t>
  </si>
  <si>
    <t>AI_Diffusion_repealed</t>
  </si>
  <si>
    <t>AI Diffusion repealed</t>
  </si>
  <si>
    <t>Trump admin repeals Biden diffusion rule</t>
  </si>
  <si>
    <t>EC030</t>
  </si>
  <si>
    <t>Equipment_China</t>
  </si>
  <si>
    <t>Equipment dual-use rules</t>
  </si>
  <si>
    <t>ASML/AMAT/LRCX equipment restrictions</t>
  </si>
  <si>
    <t>EC031</t>
  </si>
  <si>
    <t>Trump_Xi_chip_deal</t>
  </si>
  <si>
    <t>APEC chip framework</t>
  </si>
  <si>
    <t>Tariff freeze, some restrictions lift</t>
  </si>
  <si>
    <t>EC032</t>
  </si>
  <si>
    <t>Section_232_minerals</t>
  </si>
  <si>
    <t>Critical minerals tariffs</t>
  </si>
  <si>
    <t>Tungsten, cobalt, REE tariffs</t>
  </si>
  <si>
    <t>EC033</t>
  </si>
  <si>
    <t>Section_232_semis_imposed</t>
  </si>
  <si>
    <t>Chip tariffs 25-50%</t>
  </si>
  <si>
    <t>Section 232 semi tariffs effective</t>
  </si>
  <si>
    <t>EC034</t>
  </si>
  <si>
    <t>REE_tightened</t>
  </si>
  <si>
    <t>Heavy REE near-total ban</t>
  </si>
  <si>
    <t>China severs heavy rare earth exports</t>
  </si>
  <si>
    <t>Company</t>
  </si>
  <si>
    <t>Process_node_nm</t>
  </si>
  <si>
    <t>Fab_type</t>
  </si>
  <si>
    <t>Monthly_wafer_capacity</t>
  </si>
  <si>
    <t>fab_started_year</t>
  </si>
  <si>
    <t>Node_Category</t>
  </si>
  <si>
    <t>Regions</t>
  </si>
  <si>
    <t>logic_leading</t>
  </si>
  <si>
    <t>logic_mature</t>
  </si>
  <si>
    <t>Samsung</t>
  </si>
  <si>
    <t>ISR</t>
  </si>
  <si>
    <t>memory_DRAM</t>
  </si>
  <si>
    <t>memory_HBM_packaging</t>
  </si>
  <si>
    <t>memory_NAND</t>
  </si>
  <si>
    <t>logic_mature_300mm</t>
  </si>
  <si>
    <t>ITA</t>
  </si>
  <si>
    <t>NXP</t>
  </si>
  <si>
    <t>Label</t>
  </si>
  <si>
    <t>Formula</t>
  </si>
  <si>
    <t>Total Industry Revenue 2024 (USD Bn)</t>
  </si>
  <si>
    <t>Highest Operating Margin 2024 (%)</t>
  </si>
  <si>
    <t>NVIDIA H100 Peak Price (USD)</t>
  </si>
  <si>
    <t>Total Export Control Actions</t>
  </si>
  <si>
    <t>PT1 - AI Chip Revenue by Vendor by Year</t>
  </si>
  <si>
    <t>Sum of Estimated_revenue_usd_m</t>
  </si>
  <si>
    <t>Grand Total</t>
  </si>
  <si>
    <t>Actual</t>
  </si>
  <si>
    <t>PT2 - Company Revenue Trends</t>
  </si>
  <si>
    <t>Sum of Revenue_usd_bn</t>
  </si>
  <si>
    <t>(ALL)</t>
  </si>
  <si>
    <t>PT3 - Operating Margin Ranking 2024</t>
  </si>
  <si>
    <t>Average of Operating_margin_pct</t>
  </si>
  <si>
    <t>PT4 - Chip Price Trends by Product</t>
  </si>
  <si>
    <t>Average of Price</t>
  </si>
  <si>
    <t>PT5 - Fab Capacity by Region and Node 2024</t>
  </si>
  <si>
    <t>Sum of Monthly_wafer_capacity</t>
  </si>
  <si>
    <t>Advanced (7-16nm)</t>
  </si>
  <si>
    <t>Leading Edge (3-5nm)</t>
  </si>
  <si>
    <t>Legacy (40nm+)</t>
  </si>
  <si>
    <t>Mature (22-28nm)</t>
  </si>
  <si>
    <t>China</t>
  </si>
  <si>
    <t>Europe</t>
  </si>
  <si>
    <t>Japan</t>
  </si>
  <si>
    <t>Middle East</t>
  </si>
  <si>
    <t>South Korea</t>
  </si>
  <si>
    <t>Taiwan</t>
  </si>
  <si>
    <t>PT6 - Export Control Severity by Year</t>
  </si>
  <si>
    <t>Sum of Severity_score</t>
  </si>
  <si>
    <t>Count of Control_id</t>
  </si>
  <si>
    <t>Biden</t>
  </si>
  <si>
    <t>Trump 1.0</t>
  </si>
  <si>
    <t>Trump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</si>
</sst>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yyyy\-mm\-dd"/>
    <numFmt numFmtId="167" formatCode="0.0&quot; USD Bn&quot;"/>
    <numFmt numFmtId="168" formatCode="0.0&quot;%&quot;"/>
    <numFmt numFmtId="169" formatCode="&quot;$&quot;#,##0"/>
  </numFmts>
  <fonts count="11">
    <font>
      <sz val="11"/>
      <color theme="1"/>
      <name val="Calibri"/>
      <charset val="134"/>
      <scheme val="minor"/>
    </font>
    <font>
      <sz val="9"/>
      <color rgb="FF0A2540"/>
      <name val="Consolas"/>
      <charset val="134"/>
    </font>
    <font>
      <b/>
      <sz val="9"/>
      <color rgb="FF0A2540"/>
      <name val="Consolas"/>
      <charset val="134"/>
    </font>
    <font>
      <b/>
      <sz val="11"/>
      <color theme="1"/>
      <name val="Calibri"/>
      <charset val="134"/>
      <scheme val="minor"/>
    </font>
    <font>
      <b/>
      <sz val="18"/>
      <color theme="0"/>
      <name val="Arial"/>
      <charset val="134"/>
    </font>
    <font>
      <i/>
      <sz val="10"/>
      <color theme="0" tint="-4.9989318521683403E-2"/>
      <name val="Calibri"/>
      <charset val="134"/>
      <scheme val="minor"/>
    </font>
    <font>
      <sz val="16"/>
      <color theme="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2"/>
      <color rgb="FF141413"/>
      <name val="Arial"/>
      <charset val="134"/>
    </font>
    <font>
      <sz val="10"/>
      <color rgb="FF3D3D3A"/>
      <name val="Arial"/>
      <charset val="134"/>
    </font>
    <font>
      <sz val="9.75"/>
      <color rgb="FF3D3D3A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vertical="center" wrapText="1"/>
    </xf>
    <xf numFmtId="167" fontId="7" fillId="3" borderId="0" xfId="0" applyNumberFormat="1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168" fontId="7" fillId="3" borderId="0" xfId="0" applyNumberFormat="1" applyFont="1" applyFill="1" applyAlignment="1">
      <alignment horizontal="center" vertical="center"/>
    </xf>
    <xf numFmtId="169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8" fillId="5" borderId="0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10" fillId="5" borderId="0" xfId="0" applyFont="1" applyFill="1" applyBorder="1" applyAlignment="1">
      <alignment vertical="center" wrapText="1"/>
    </xf>
    <xf numFmtId="0" fontId="0" fillId="0" borderId="0" xfId="0" quotePrefix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77">
    <dxf>
      <alignment horizontal="center"/>
    </dxf>
    <dxf>
      <alignment horizont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alignment horizontal="center"/>
    </dxf>
    <dxf>
      <alignment horizont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numFmt numFmtId="166" formatCode="yyyy\-mm\-dd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alignment horizontal="center"/>
    </dxf>
    <dxf>
      <numFmt numFmtId="2" formatCode="0.00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alignment horizontal="center"/>
    </dxf>
    <dxf>
      <alignment horizontal="center"/>
    </dxf>
    <dxf>
      <alignment horizontal="center"/>
    </dxf>
    <dxf>
      <font>
        <sz val="9"/>
        <color rgb="FF0A2540"/>
        <name val="Consolas"/>
        <scheme val="none"/>
      </font>
      <alignment horizont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numFmt numFmtId="2" formatCode="0.00"/>
      <alignment horizontal="center"/>
    </dxf>
    <dxf>
      <alignment horizontal="center"/>
    </dxf>
    <dxf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alignment horizontal="center" vertical="center"/>
    </dxf>
    <dxf>
      <numFmt numFmtId="166" formatCode="yyyy\-mm\-dd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PivotStylePreset2_Accent1" table="0" count="10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</tableStyles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Revenue Trends</a:t>
            </a:r>
          </a:p>
          <a:p>
            <a:pPr defTabSz="914400">
              <a:defRPr/>
            </a:pPr>
            <a:r>
              <a:rPr lang="en-US" sz="1200" b="0"/>
              <a:t>Top 8 Companies | USD Billion | 2010–2026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CALC!$B$27:$B$28</c:f>
              <c:strCache>
                <c:ptCount val="1"/>
                <c:pt idx="0">
                  <c:v>AMD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CALC!$B$29:$B$44</c:f>
              <c:numCache>
                <c:formatCode>General</c:formatCode>
                <c:ptCount val="15"/>
                <c:pt idx="0">
                  <c:v>6.11</c:v>
                </c:pt>
                <c:pt idx="1">
                  <c:v>5.85</c:v>
                </c:pt>
                <c:pt idx="2">
                  <c:v>5.36</c:v>
                </c:pt>
                <c:pt idx="3">
                  <c:v>5.14</c:v>
                </c:pt>
                <c:pt idx="4">
                  <c:v>4.5</c:v>
                </c:pt>
                <c:pt idx="5">
                  <c:v>3.96</c:v>
                </c:pt>
                <c:pt idx="6">
                  <c:v>4.91</c:v>
                </c:pt>
                <c:pt idx="7">
                  <c:v>5.64</c:v>
                </c:pt>
                <c:pt idx="8">
                  <c:v>6.46</c:v>
                </c:pt>
                <c:pt idx="9">
                  <c:v>8.19</c:v>
                </c:pt>
                <c:pt idx="10">
                  <c:v>9.83</c:v>
                </c:pt>
                <c:pt idx="11">
                  <c:v>18.010000000000002</c:v>
                </c:pt>
                <c:pt idx="12">
                  <c:v>23</c:v>
                </c:pt>
                <c:pt idx="13">
                  <c:v>21.72</c:v>
                </c:pt>
                <c:pt idx="14">
                  <c:v>26.05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CALC!$C$27:$C$28</c:f>
              <c:strCache>
                <c:ptCount val="1"/>
                <c:pt idx="0">
                  <c:v>Analog Devices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CALC!$C$29:$C$44</c:f>
              <c:numCache>
                <c:formatCode>General</c:formatCode>
                <c:ptCount val="15"/>
                <c:pt idx="0">
                  <c:v>2.88</c:v>
                </c:pt>
                <c:pt idx="1">
                  <c:v>3.02</c:v>
                </c:pt>
                <c:pt idx="2">
                  <c:v>3.17</c:v>
                </c:pt>
                <c:pt idx="3">
                  <c:v>3.24</c:v>
                </c:pt>
                <c:pt idx="4">
                  <c:v>3.33</c:v>
                </c:pt>
                <c:pt idx="5">
                  <c:v>3.39</c:v>
                </c:pt>
                <c:pt idx="6">
                  <c:v>4.24</c:v>
                </c:pt>
                <c:pt idx="7">
                  <c:v>5.07</c:v>
                </c:pt>
                <c:pt idx="8">
                  <c:v>6.19</c:v>
                </c:pt>
                <c:pt idx="9">
                  <c:v>5.91</c:v>
                </c:pt>
                <c:pt idx="10">
                  <c:v>5.75</c:v>
                </c:pt>
                <c:pt idx="11">
                  <c:v>8.76</c:v>
                </c:pt>
                <c:pt idx="12">
                  <c:v>12.2</c:v>
                </c:pt>
                <c:pt idx="13">
                  <c:v>11.78</c:v>
                </c:pt>
                <c:pt idx="14">
                  <c:v>9.4700000000000006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CALC!$D$27:$D$28</c:f>
              <c:strCache>
                <c:ptCount val="1"/>
                <c:pt idx="0">
                  <c:v>Applied Materials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CALC!$D$29:$D$44</c:f>
              <c:numCache>
                <c:formatCode>General</c:formatCode>
                <c:ptCount val="15"/>
                <c:pt idx="0">
                  <c:v>9.39</c:v>
                </c:pt>
                <c:pt idx="1">
                  <c:v>9.56</c:v>
                </c:pt>
                <c:pt idx="2">
                  <c:v>9.32</c:v>
                </c:pt>
                <c:pt idx="3">
                  <c:v>9.1199999999999992</c:v>
                </c:pt>
                <c:pt idx="4">
                  <c:v>8.91</c:v>
                </c:pt>
                <c:pt idx="5">
                  <c:v>9.41</c:v>
                </c:pt>
                <c:pt idx="6">
                  <c:v>12.27</c:v>
                </c:pt>
                <c:pt idx="7">
                  <c:v>14.44</c:v>
                </c:pt>
                <c:pt idx="8">
                  <c:v>16.14</c:v>
                </c:pt>
                <c:pt idx="9">
                  <c:v>16.57</c:v>
                </c:pt>
                <c:pt idx="10">
                  <c:v>17.03</c:v>
                </c:pt>
                <c:pt idx="11">
                  <c:v>22.72</c:v>
                </c:pt>
                <c:pt idx="12">
                  <c:v>27.32</c:v>
                </c:pt>
                <c:pt idx="13">
                  <c:v>27.93</c:v>
                </c:pt>
                <c:pt idx="14">
                  <c:v>27.31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CALC!$E$27:$E$28</c:f>
              <c:strCache>
                <c:ptCount val="1"/>
                <c:pt idx="0">
                  <c:v>ASML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CALC!$E$29:$E$44</c:f>
              <c:numCache>
                <c:formatCode>General</c:formatCode>
                <c:ptCount val="15"/>
                <c:pt idx="0">
                  <c:v>6.65</c:v>
                </c:pt>
                <c:pt idx="1">
                  <c:v>6.44</c:v>
                </c:pt>
                <c:pt idx="2">
                  <c:v>6.59</c:v>
                </c:pt>
                <c:pt idx="3">
                  <c:v>6.51</c:v>
                </c:pt>
                <c:pt idx="4">
                  <c:v>6.71</c:v>
                </c:pt>
                <c:pt idx="5">
                  <c:v>7.11</c:v>
                </c:pt>
                <c:pt idx="6">
                  <c:v>8.2100000000000009</c:v>
                </c:pt>
                <c:pt idx="7">
                  <c:v>10.65</c:v>
                </c:pt>
                <c:pt idx="8">
                  <c:v>12.38</c:v>
                </c:pt>
                <c:pt idx="9">
                  <c:v>13.65</c:v>
                </c:pt>
                <c:pt idx="10">
                  <c:v>16.170000000000002</c:v>
                </c:pt>
                <c:pt idx="11">
                  <c:v>20.79</c:v>
                </c:pt>
                <c:pt idx="12">
                  <c:v>23.9</c:v>
                </c:pt>
                <c:pt idx="13">
                  <c:v>30.31</c:v>
                </c:pt>
                <c:pt idx="14">
                  <c:v>31.81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CALC!$F$27:$F$28</c:f>
              <c:strCache>
                <c:ptCount val="1"/>
                <c:pt idx="0">
                  <c:v>Broadcom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CALC!$F$29:$F$44</c:f>
              <c:numCache>
                <c:formatCode>General</c:formatCode>
                <c:ptCount val="15"/>
                <c:pt idx="0">
                  <c:v>2.99</c:v>
                </c:pt>
                <c:pt idx="1">
                  <c:v>3.94</c:v>
                </c:pt>
                <c:pt idx="2">
                  <c:v>4.42</c:v>
                </c:pt>
                <c:pt idx="3">
                  <c:v>5.47</c:v>
                </c:pt>
                <c:pt idx="4">
                  <c:v>6.13</c:v>
                </c:pt>
                <c:pt idx="5">
                  <c:v>6.99</c:v>
                </c:pt>
                <c:pt idx="6">
                  <c:v>11.09</c:v>
                </c:pt>
                <c:pt idx="7">
                  <c:v>16.260000000000002</c:v>
                </c:pt>
                <c:pt idx="8">
                  <c:v>20.62</c:v>
                </c:pt>
                <c:pt idx="9">
                  <c:v>22.18</c:v>
                </c:pt>
                <c:pt idx="10">
                  <c:v>24.98</c:v>
                </c:pt>
                <c:pt idx="11">
                  <c:v>28.35</c:v>
                </c:pt>
                <c:pt idx="12">
                  <c:v>33.5</c:v>
                </c:pt>
                <c:pt idx="13">
                  <c:v>33.96</c:v>
                </c:pt>
                <c:pt idx="14">
                  <c:v>54.34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CALC!$G$27:$G$28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CALC!$G$29:$G$44</c:f>
              <c:numCache>
                <c:formatCode>General</c:formatCode>
                <c:ptCount val="15"/>
                <c:pt idx="0">
                  <c:v>0.95</c:v>
                </c:pt>
                <c:pt idx="1">
                  <c:v>1.1100000000000001</c:v>
                </c:pt>
                <c:pt idx="2">
                  <c:v>1.17</c:v>
                </c:pt>
                <c:pt idx="3">
                  <c:v>1.31</c:v>
                </c:pt>
                <c:pt idx="4">
                  <c:v>1.55</c:v>
                </c:pt>
                <c:pt idx="5">
                  <c:v>1.76</c:v>
                </c:pt>
                <c:pt idx="6">
                  <c:v>1.81</c:v>
                </c:pt>
                <c:pt idx="7">
                  <c:v>1.94</c:v>
                </c:pt>
                <c:pt idx="8">
                  <c:v>2.16</c:v>
                </c:pt>
                <c:pt idx="9">
                  <c:v>2.46</c:v>
                </c:pt>
                <c:pt idx="10">
                  <c:v>2.62</c:v>
                </c:pt>
                <c:pt idx="11">
                  <c:v>3.22</c:v>
                </c:pt>
                <c:pt idx="12">
                  <c:v>3.52</c:v>
                </c:pt>
                <c:pt idx="13">
                  <c:v>4.03</c:v>
                </c:pt>
                <c:pt idx="14">
                  <c:v>4.47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CALC!$H$27:$H$28</c:f>
              <c:strCache>
                <c:ptCount val="1"/>
                <c:pt idx="0">
                  <c:v>Cerebras Systems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CALC!$H$29:$H$44</c:f>
              <c:numCache>
                <c:formatCode>General</c:formatCode>
                <c:ptCount val="15"/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0.22</c:v>
                </c:pt>
                <c:pt idx="13">
                  <c:v>0.3</c:v>
                </c:pt>
                <c:pt idx="14">
                  <c:v>0.77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CALC!$I$27:$I$28</c:f>
              <c:strCache>
                <c:ptCount val="1"/>
                <c:pt idx="0">
                  <c:v>ChangXin Memory (CXMT)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CALC!$I$29:$I$44</c:f>
              <c:numCache>
                <c:formatCode>General</c:formatCode>
                <c:ptCount val="15"/>
                <c:pt idx="8">
                  <c:v>0.31</c:v>
                </c:pt>
                <c:pt idx="9">
                  <c:v>0.94</c:v>
                </c:pt>
                <c:pt idx="10">
                  <c:v>1.45</c:v>
                </c:pt>
                <c:pt idx="11">
                  <c:v>2.2599999999999998</c:v>
                </c:pt>
                <c:pt idx="12">
                  <c:v>3.1</c:v>
                </c:pt>
                <c:pt idx="13">
                  <c:v>4.04</c:v>
                </c:pt>
                <c:pt idx="14">
                  <c:v>5.07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CALC!$J$27:$J$28</c:f>
              <c:strCache>
                <c:ptCount val="1"/>
                <c:pt idx="0">
                  <c:v>GlobalFoundries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CALC!$J$29:$J$44</c:f>
              <c:numCache>
                <c:formatCode>General</c:formatCode>
                <c:ptCount val="15"/>
                <c:pt idx="0">
                  <c:v>3.59</c:v>
                </c:pt>
                <c:pt idx="1">
                  <c:v>3.66</c:v>
                </c:pt>
                <c:pt idx="2">
                  <c:v>3.99</c:v>
                </c:pt>
                <c:pt idx="3">
                  <c:v>4.42</c:v>
                </c:pt>
                <c:pt idx="4">
                  <c:v>4.6399999999999997</c:v>
                </c:pt>
                <c:pt idx="5">
                  <c:v>5.09</c:v>
                </c:pt>
                <c:pt idx="6">
                  <c:v>5.47</c:v>
                </c:pt>
                <c:pt idx="7">
                  <c:v>5.74</c:v>
                </c:pt>
                <c:pt idx="8">
                  <c:v>5.98</c:v>
                </c:pt>
                <c:pt idx="9">
                  <c:v>5.47</c:v>
                </c:pt>
                <c:pt idx="10">
                  <c:v>4.97</c:v>
                </c:pt>
                <c:pt idx="11">
                  <c:v>6.63</c:v>
                </c:pt>
                <c:pt idx="12">
                  <c:v>8</c:v>
                </c:pt>
                <c:pt idx="13">
                  <c:v>7.03</c:v>
                </c:pt>
                <c:pt idx="14">
                  <c:v>6.54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CALC!$K$27:$K$28</c:f>
              <c:strCache>
                <c:ptCount val="1"/>
                <c:pt idx="0">
                  <c:v>Graphcore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CALC!$K$29:$K$44</c:f>
              <c:numCache>
                <c:formatCode>General</c:formatCode>
                <c:ptCount val="15"/>
                <c:pt idx="9">
                  <c:v>0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CALC!$L$27:$L$28</c:f>
              <c:strCache>
                <c:ptCount val="1"/>
                <c:pt idx="0">
                  <c:v>Groq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CALC!$L$29:$L$44</c:f>
              <c:numCache>
                <c:formatCode>General</c:formatCode>
                <c:ptCount val="15"/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0.04</c:v>
                </c:pt>
                <c:pt idx="14">
                  <c:v>0.48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CALC!$M$27:$M$28</c:f>
              <c:strCache>
                <c:ptCount val="1"/>
                <c:pt idx="0">
                  <c:v>HiSilicon (Huawei)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CALC!$M$29:$M$44</c:f>
              <c:numCache>
                <c:formatCode>General</c:formatCode>
                <c:ptCount val="15"/>
                <c:pt idx="0">
                  <c:v>0.96</c:v>
                </c:pt>
                <c:pt idx="1">
                  <c:v>1.61</c:v>
                </c:pt>
                <c:pt idx="2">
                  <c:v>2.21</c:v>
                </c:pt>
                <c:pt idx="3">
                  <c:v>2.79</c:v>
                </c:pt>
                <c:pt idx="4">
                  <c:v>3.35</c:v>
                </c:pt>
                <c:pt idx="5">
                  <c:v>3.92</c:v>
                </c:pt>
                <c:pt idx="6">
                  <c:v>5</c:v>
                </c:pt>
                <c:pt idx="7">
                  <c:v>6.61</c:v>
                </c:pt>
                <c:pt idx="8">
                  <c:v>7.46</c:v>
                </c:pt>
                <c:pt idx="9">
                  <c:v>9.19</c:v>
                </c:pt>
                <c:pt idx="10">
                  <c:v>10.7</c:v>
                </c:pt>
                <c:pt idx="11">
                  <c:v>6.76</c:v>
                </c:pt>
                <c:pt idx="12">
                  <c:v>1.97</c:v>
                </c:pt>
                <c:pt idx="13">
                  <c:v>4.03</c:v>
                </c:pt>
                <c:pt idx="14">
                  <c:v>9.1199999999999992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CALC!$N$27:$N$28</c:f>
              <c:strCache>
                <c:ptCount val="1"/>
                <c:pt idx="0">
                  <c:v>Hua Hong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CALC!$N$29:$N$44</c:f>
              <c:numCache>
                <c:formatCode>General</c:formatCode>
                <c:ptCount val="15"/>
                <c:pt idx="0">
                  <c:v>0.63</c:v>
                </c:pt>
                <c:pt idx="1">
                  <c:v>0.62</c:v>
                </c:pt>
                <c:pt idx="2">
                  <c:v>0.62</c:v>
                </c:pt>
                <c:pt idx="3">
                  <c:v>0.65</c:v>
                </c:pt>
                <c:pt idx="4">
                  <c:v>0.68</c:v>
                </c:pt>
                <c:pt idx="5">
                  <c:v>0.7</c:v>
                </c:pt>
                <c:pt idx="6">
                  <c:v>0.76</c:v>
                </c:pt>
                <c:pt idx="7">
                  <c:v>0.88</c:v>
                </c:pt>
                <c:pt idx="8">
                  <c:v>0.85</c:v>
                </c:pt>
                <c:pt idx="9">
                  <c:v>0.93</c:v>
                </c:pt>
                <c:pt idx="10">
                  <c:v>0.97</c:v>
                </c:pt>
                <c:pt idx="11">
                  <c:v>1.78</c:v>
                </c:pt>
                <c:pt idx="12">
                  <c:v>2.5099999999999998</c:v>
                </c:pt>
                <c:pt idx="13">
                  <c:v>2.3199999999999998</c:v>
                </c:pt>
                <c:pt idx="14">
                  <c:v>1.94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CALC!$O$27:$O$28</c:f>
              <c:strCache>
                <c:ptCount val="1"/>
                <c:pt idx="0">
                  <c:v>Infineon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CALC!$O$29:$O$44</c:f>
              <c:numCache>
                <c:formatCode>General</c:formatCode>
                <c:ptCount val="15"/>
                <c:pt idx="0">
                  <c:v>4.57</c:v>
                </c:pt>
                <c:pt idx="1">
                  <c:v>4.54</c:v>
                </c:pt>
                <c:pt idx="2">
                  <c:v>5.1100000000000003</c:v>
                </c:pt>
                <c:pt idx="3">
                  <c:v>5.56</c:v>
                </c:pt>
                <c:pt idx="4">
                  <c:v>5.52</c:v>
                </c:pt>
                <c:pt idx="5">
                  <c:v>6.04</c:v>
                </c:pt>
                <c:pt idx="6">
                  <c:v>6.56</c:v>
                </c:pt>
                <c:pt idx="7">
                  <c:v>8.0299999999999994</c:v>
                </c:pt>
                <c:pt idx="8">
                  <c:v>8.08</c:v>
                </c:pt>
                <c:pt idx="9">
                  <c:v>8.57</c:v>
                </c:pt>
                <c:pt idx="10">
                  <c:v>9.07</c:v>
                </c:pt>
                <c:pt idx="11">
                  <c:v>11.78</c:v>
                </c:pt>
                <c:pt idx="12">
                  <c:v>14.75</c:v>
                </c:pt>
                <c:pt idx="13">
                  <c:v>16.68</c:v>
                </c:pt>
                <c:pt idx="14">
                  <c:v>15.35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CALC!$P$27:$P$28</c:f>
              <c:strCache>
                <c:ptCount val="1"/>
                <c:pt idx="0">
                  <c:v>Intel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CALC!$P$29:$P$44</c:f>
              <c:numCache>
                <c:formatCode>General</c:formatCode>
                <c:ptCount val="15"/>
                <c:pt idx="0">
                  <c:v>44.33</c:v>
                </c:pt>
                <c:pt idx="1">
                  <c:v>45.66</c:v>
                </c:pt>
                <c:pt idx="2">
                  <c:v>50.66</c:v>
                </c:pt>
                <c:pt idx="3">
                  <c:v>50.78</c:v>
                </c:pt>
                <c:pt idx="4">
                  <c:v>50.47</c:v>
                </c:pt>
                <c:pt idx="5">
                  <c:v>52.71</c:v>
                </c:pt>
                <c:pt idx="6">
                  <c:v>61.27</c:v>
                </c:pt>
                <c:pt idx="7">
                  <c:v>66.180000000000007</c:v>
                </c:pt>
                <c:pt idx="8">
                  <c:v>66.06</c:v>
                </c:pt>
                <c:pt idx="9">
                  <c:v>73.31</c:v>
                </c:pt>
                <c:pt idx="10">
                  <c:v>79.56</c:v>
                </c:pt>
                <c:pt idx="11">
                  <c:v>72.13</c:v>
                </c:pt>
                <c:pt idx="12">
                  <c:v>64.11</c:v>
                </c:pt>
                <c:pt idx="13">
                  <c:v>53.91</c:v>
                </c:pt>
                <c:pt idx="14">
                  <c:v>54.42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CALC!$Q$27:$Q$28</c:f>
              <c:strCache>
                <c:ptCount val="1"/>
                <c:pt idx="0">
                  <c:v>KLA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CALC!$Q$29:$Q$44</c:f>
              <c:numCache>
                <c:formatCode>General</c:formatCode>
                <c:ptCount val="15"/>
                <c:pt idx="0">
                  <c:v>1.74</c:v>
                </c:pt>
                <c:pt idx="1">
                  <c:v>2.08</c:v>
                </c:pt>
                <c:pt idx="2">
                  <c:v>2.04</c:v>
                </c:pt>
                <c:pt idx="3">
                  <c:v>2.34</c:v>
                </c:pt>
                <c:pt idx="4">
                  <c:v>2.57</c:v>
                </c:pt>
                <c:pt idx="5">
                  <c:v>2.77</c:v>
                </c:pt>
                <c:pt idx="6">
                  <c:v>3.14</c:v>
                </c:pt>
                <c:pt idx="7">
                  <c:v>3.65</c:v>
                </c:pt>
                <c:pt idx="8">
                  <c:v>4.05</c:v>
                </c:pt>
                <c:pt idx="9">
                  <c:v>4.88</c:v>
                </c:pt>
                <c:pt idx="10">
                  <c:v>5.69</c:v>
                </c:pt>
                <c:pt idx="11">
                  <c:v>7.45</c:v>
                </c:pt>
                <c:pt idx="12">
                  <c:v>9.2200000000000006</c:v>
                </c:pt>
                <c:pt idx="13">
                  <c:v>10.27</c:v>
                </c:pt>
                <c:pt idx="14">
                  <c:v>9.9600000000000009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CALC!$R$27:$R$28</c:f>
              <c:strCache>
                <c:ptCount val="1"/>
                <c:pt idx="0">
                  <c:v>Lam Research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CALC!$R$29:$R$44</c:f>
              <c:numCache>
                <c:formatCode>General</c:formatCode>
                <c:ptCount val="15"/>
                <c:pt idx="0">
                  <c:v>2.57</c:v>
                </c:pt>
                <c:pt idx="1">
                  <c:v>3.23</c:v>
                </c:pt>
                <c:pt idx="2">
                  <c:v>3.71</c:v>
                </c:pt>
                <c:pt idx="3">
                  <c:v>4.26</c:v>
                </c:pt>
                <c:pt idx="4">
                  <c:v>4.49</c:v>
                </c:pt>
                <c:pt idx="5">
                  <c:v>5.15</c:v>
                </c:pt>
                <c:pt idx="6">
                  <c:v>7.22</c:v>
                </c:pt>
                <c:pt idx="7">
                  <c:v>8.98</c:v>
                </c:pt>
                <c:pt idx="8">
                  <c:v>10.66</c:v>
                </c:pt>
                <c:pt idx="9">
                  <c:v>10.37</c:v>
                </c:pt>
                <c:pt idx="10">
                  <c:v>10.08</c:v>
                </c:pt>
                <c:pt idx="11">
                  <c:v>13.9</c:v>
                </c:pt>
                <c:pt idx="12">
                  <c:v>16.25</c:v>
                </c:pt>
                <c:pt idx="13">
                  <c:v>17.39</c:v>
                </c:pt>
                <c:pt idx="14">
                  <c:v>14.85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CALC!$S$27:$S$28</c:f>
              <c:strCache>
                <c:ptCount val="1"/>
                <c:pt idx="0">
                  <c:v>Marvell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CALC!$S$29:$S$44</c:f>
              <c:numCache>
                <c:formatCode>General</c:formatCode>
                <c:ptCount val="15"/>
                <c:pt idx="0">
                  <c:v>3.36</c:v>
                </c:pt>
                <c:pt idx="1">
                  <c:v>3.43</c:v>
                </c:pt>
                <c:pt idx="2">
                  <c:v>3.4</c:v>
                </c:pt>
                <c:pt idx="3">
                  <c:v>3.01</c:v>
                </c:pt>
                <c:pt idx="4">
                  <c:v>2.75</c:v>
                </c:pt>
                <c:pt idx="5">
                  <c:v>2.73</c:v>
                </c:pt>
                <c:pt idx="6">
                  <c:v>2.56</c:v>
                </c:pt>
                <c:pt idx="7">
                  <c:v>2.58</c:v>
                </c:pt>
                <c:pt idx="8">
                  <c:v>2.42</c:v>
                </c:pt>
                <c:pt idx="9">
                  <c:v>2.63</c:v>
                </c:pt>
                <c:pt idx="10">
                  <c:v>2.99</c:v>
                </c:pt>
                <c:pt idx="11">
                  <c:v>4.59</c:v>
                </c:pt>
                <c:pt idx="12">
                  <c:v>5.88</c:v>
                </c:pt>
                <c:pt idx="13">
                  <c:v>5.38</c:v>
                </c:pt>
                <c:pt idx="14">
                  <c:v>5.84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CALC!$T$27:$T$28</c:f>
              <c:strCache>
                <c:ptCount val="1"/>
                <c:pt idx="0">
                  <c:v>MediaTek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CALC!$T$29:$T$44</c:f>
              <c:numCache>
                <c:formatCode>General</c:formatCode>
                <c:ptCount val="15"/>
                <c:pt idx="0">
                  <c:v>3.56</c:v>
                </c:pt>
                <c:pt idx="1">
                  <c:v>4.2300000000000004</c:v>
                </c:pt>
                <c:pt idx="2">
                  <c:v>4.8899999999999997</c:v>
                </c:pt>
                <c:pt idx="3">
                  <c:v>5.56</c:v>
                </c:pt>
                <c:pt idx="4">
                  <c:v>5.99</c:v>
                </c:pt>
                <c:pt idx="5">
                  <c:v>6.41</c:v>
                </c:pt>
                <c:pt idx="6">
                  <c:v>7</c:v>
                </c:pt>
                <c:pt idx="7">
                  <c:v>7.37</c:v>
                </c:pt>
                <c:pt idx="8">
                  <c:v>7.87</c:v>
                </c:pt>
                <c:pt idx="9">
                  <c:v>9.77</c:v>
                </c:pt>
                <c:pt idx="10">
                  <c:v>10.4</c:v>
                </c:pt>
                <c:pt idx="11">
                  <c:v>14.24</c:v>
                </c:pt>
                <c:pt idx="12">
                  <c:v>19.46</c:v>
                </c:pt>
                <c:pt idx="13">
                  <c:v>13.32</c:v>
                </c:pt>
                <c:pt idx="14">
                  <c:v>17.02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CALC!$U$27:$U$28</c:f>
              <c:strCache>
                <c:ptCount val="1"/>
                <c:pt idx="0">
                  <c:v>Microchip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CALC!$U$29:$U$44</c:f>
              <c:numCache>
                <c:formatCode>General</c:formatCode>
                <c:ptCount val="15"/>
                <c:pt idx="0">
                  <c:v>1.49</c:v>
                </c:pt>
                <c:pt idx="1">
                  <c:v>1.56</c:v>
                </c:pt>
                <c:pt idx="2">
                  <c:v>1.76</c:v>
                </c:pt>
                <c:pt idx="3">
                  <c:v>1.91</c:v>
                </c:pt>
                <c:pt idx="4">
                  <c:v>1.92</c:v>
                </c:pt>
                <c:pt idx="5">
                  <c:v>2.14</c:v>
                </c:pt>
                <c:pt idx="6">
                  <c:v>2.82</c:v>
                </c:pt>
                <c:pt idx="7">
                  <c:v>3.29</c:v>
                </c:pt>
                <c:pt idx="8">
                  <c:v>4.05</c:v>
                </c:pt>
                <c:pt idx="9">
                  <c:v>4.7300000000000004</c:v>
                </c:pt>
                <c:pt idx="10">
                  <c:v>5.34</c:v>
                </c:pt>
                <c:pt idx="11">
                  <c:v>7.01</c:v>
                </c:pt>
                <c:pt idx="12">
                  <c:v>8</c:v>
                </c:pt>
                <c:pt idx="13">
                  <c:v>7.83</c:v>
                </c:pt>
                <c:pt idx="14">
                  <c:v>4.2699999999999996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CALC!$V$27:$V$28</c:f>
              <c:strCache>
                <c:ptCount val="1"/>
                <c:pt idx="0">
                  <c:v>Micron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CALC!$V$29:$V$44</c:f>
              <c:numCache>
                <c:formatCode>General</c:formatCode>
                <c:ptCount val="15"/>
                <c:pt idx="0">
                  <c:v>8.7799999999999994</c:v>
                </c:pt>
                <c:pt idx="1">
                  <c:v>10.039999999999999</c:v>
                </c:pt>
                <c:pt idx="2">
                  <c:v>11.66</c:v>
                </c:pt>
                <c:pt idx="3">
                  <c:v>13.16</c:v>
                </c:pt>
                <c:pt idx="4">
                  <c:v>14.64</c:v>
                </c:pt>
                <c:pt idx="5">
                  <c:v>15.83</c:v>
                </c:pt>
                <c:pt idx="6">
                  <c:v>20.41</c:v>
                </c:pt>
                <c:pt idx="7">
                  <c:v>26.52</c:v>
                </c:pt>
                <c:pt idx="8">
                  <c:v>30.14</c:v>
                </c:pt>
                <c:pt idx="9">
                  <c:v>25.66</c:v>
                </c:pt>
                <c:pt idx="10">
                  <c:v>20.260000000000002</c:v>
                </c:pt>
                <c:pt idx="11">
                  <c:v>24.59</c:v>
                </c:pt>
                <c:pt idx="12">
                  <c:v>32.090000000000003</c:v>
                </c:pt>
                <c:pt idx="13">
                  <c:v>15.17</c:v>
                </c:pt>
                <c:pt idx="14">
                  <c:v>22.96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CALC!$W$27:$W$28</c:f>
              <c:strCache>
                <c:ptCount val="1"/>
                <c:pt idx="0">
                  <c:v>NVIDIA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CALC!$W$29:$W$44</c:f>
              <c:numCache>
                <c:formatCode>General</c:formatCode>
                <c:ptCount val="15"/>
                <c:pt idx="0">
                  <c:v>3.43</c:v>
                </c:pt>
                <c:pt idx="1">
                  <c:v>3.75</c:v>
                </c:pt>
                <c:pt idx="2">
                  <c:v>3.95</c:v>
                </c:pt>
                <c:pt idx="3">
                  <c:v>4.6100000000000003</c:v>
                </c:pt>
                <c:pt idx="4">
                  <c:v>4.68</c:v>
                </c:pt>
                <c:pt idx="5">
                  <c:v>5.2</c:v>
                </c:pt>
                <c:pt idx="6">
                  <c:v>6.49</c:v>
                </c:pt>
                <c:pt idx="7">
                  <c:v>8.24</c:v>
                </c:pt>
                <c:pt idx="8">
                  <c:v>9.75</c:v>
                </c:pt>
                <c:pt idx="9">
                  <c:v>12.67</c:v>
                </c:pt>
                <c:pt idx="10">
                  <c:v>17.59</c:v>
                </c:pt>
                <c:pt idx="11">
                  <c:v>21.6</c:v>
                </c:pt>
                <c:pt idx="12">
                  <c:v>26.12</c:v>
                </c:pt>
                <c:pt idx="13">
                  <c:v>62.09</c:v>
                </c:pt>
                <c:pt idx="14">
                  <c:v>130.47999999999999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CALC!$X$27:$X$28</c:f>
              <c:strCache>
                <c:ptCount val="1"/>
                <c:pt idx="0">
                  <c:v>NXP Semiconductors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CALC!$X$29:$X$44</c:f>
              <c:numCache>
                <c:formatCode>General</c:formatCode>
                <c:ptCount val="15"/>
                <c:pt idx="0">
                  <c:v>4.4800000000000004</c:v>
                </c:pt>
                <c:pt idx="1">
                  <c:v>4.76</c:v>
                </c:pt>
                <c:pt idx="2">
                  <c:v>5.37</c:v>
                </c:pt>
                <c:pt idx="3">
                  <c:v>5.7</c:v>
                </c:pt>
                <c:pt idx="4">
                  <c:v>5.86</c:v>
                </c:pt>
                <c:pt idx="5">
                  <c:v>5.94</c:v>
                </c:pt>
                <c:pt idx="6">
                  <c:v>7.47</c:v>
                </c:pt>
                <c:pt idx="7">
                  <c:v>7.89</c:v>
                </c:pt>
                <c:pt idx="8">
                  <c:v>9.15</c:v>
                </c:pt>
                <c:pt idx="9">
                  <c:v>8.98</c:v>
                </c:pt>
                <c:pt idx="10">
                  <c:v>8.19</c:v>
                </c:pt>
                <c:pt idx="11">
                  <c:v>10.73</c:v>
                </c:pt>
                <c:pt idx="12">
                  <c:v>13.51</c:v>
                </c:pt>
                <c:pt idx="13">
                  <c:v>13.02</c:v>
                </c:pt>
                <c:pt idx="14">
                  <c:v>12.92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CALC!$Y$27:$Y$28</c:f>
              <c:strCache>
                <c:ptCount val="1"/>
                <c:pt idx="0">
                  <c:v>Onsemi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CALC!$Y$29:$Y$44</c:f>
              <c:numCache>
                <c:formatCode>General</c:formatCode>
                <c:ptCount val="15"/>
                <c:pt idx="0">
                  <c:v>2.27</c:v>
                </c:pt>
                <c:pt idx="1">
                  <c:v>2.54</c:v>
                </c:pt>
                <c:pt idx="2">
                  <c:v>2.7</c:v>
                </c:pt>
                <c:pt idx="3">
                  <c:v>3.19</c:v>
                </c:pt>
                <c:pt idx="4">
                  <c:v>3.17</c:v>
                </c:pt>
                <c:pt idx="5">
                  <c:v>3.57</c:v>
                </c:pt>
                <c:pt idx="6">
                  <c:v>4.46</c:v>
                </c:pt>
                <c:pt idx="7">
                  <c:v>5.21</c:v>
                </c:pt>
                <c:pt idx="8">
                  <c:v>5.96</c:v>
                </c:pt>
                <c:pt idx="9">
                  <c:v>5.61</c:v>
                </c:pt>
                <c:pt idx="10">
                  <c:v>5.0999999999999996</c:v>
                </c:pt>
                <c:pt idx="11">
                  <c:v>7.16</c:v>
                </c:pt>
                <c:pt idx="12">
                  <c:v>8.36</c:v>
                </c:pt>
                <c:pt idx="13">
                  <c:v>8.3000000000000007</c:v>
                </c:pt>
                <c:pt idx="14">
                  <c:v>6.87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CALC!$Z$27:$Z$28</c:f>
              <c:strCache>
                <c:ptCount val="1"/>
                <c:pt idx="0">
                  <c:v>Qualcomm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CALC!$Z$29:$Z$44</c:f>
              <c:numCache>
                <c:formatCode>General</c:formatCode>
                <c:ptCount val="15"/>
                <c:pt idx="0">
                  <c:v>10.65</c:v>
                </c:pt>
                <c:pt idx="1">
                  <c:v>13.44</c:v>
                </c:pt>
                <c:pt idx="2">
                  <c:v>15.75</c:v>
                </c:pt>
                <c:pt idx="3">
                  <c:v>20.68</c:v>
                </c:pt>
                <c:pt idx="4">
                  <c:v>21.48</c:v>
                </c:pt>
                <c:pt idx="5">
                  <c:v>27.28</c:v>
                </c:pt>
                <c:pt idx="6">
                  <c:v>23.97</c:v>
                </c:pt>
                <c:pt idx="7">
                  <c:v>24.72</c:v>
                </c:pt>
                <c:pt idx="8">
                  <c:v>22.53</c:v>
                </c:pt>
                <c:pt idx="9">
                  <c:v>23.4</c:v>
                </c:pt>
                <c:pt idx="10">
                  <c:v>23.41</c:v>
                </c:pt>
                <c:pt idx="11">
                  <c:v>33.61</c:v>
                </c:pt>
                <c:pt idx="12">
                  <c:v>44.51</c:v>
                </c:pt>
                <c:pt idx="13">
                  <c:v>36.31</c:v>
                </c:pt>
                <c:pt idx="14">
                  <c:v>39.18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CALC!$AA$27:$AA$28</c:f>
              <c:strCache>
                <c:ptCount val="1"/>
                <c:pt idx="0">
                  <c:v>Renesas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CALC!$AA$29:$AA$44</c:f>
              <c:numCache>
                <c:formatCode>General</c:formatCode>
                <c:ptCount val="15"/>
                <c:pt idx="0">
                  <c:v>12.3</c:v>
                </c:pt>
                <c:pt idx="1">
                  <c:v>11.42</c:v>
                </c:pt>
                <c:pt idx="2">
                  <c:v>9.8699999999999992</c:v>
                </c:pt>
                <c:pt idx="3">
                  <c:v>9.2200000000000006</c:v>
                </c:pt>
                <c:pt idx="4">
                  <c:v>7.89</c:v>
                </c:pt>
                <c:pt idx="5">
                  <c:v>7.07</c:v>
                </c:pt>
                <c:pt idx="6">
                  <c:v>7.2</c:v>
                </c:pt>
                <c:pt idx="7">
                  <c:v>6.83</c:v>
                </c:pt>
                <c:pt idx="8">
                  <c:v>6.53</c:v>
                </c:pt>
                <c:pt idx="9">
                  <c:v>6.62</c:v>
                </c:pt>
                <c:pt idx="10">
                  <c:v>6.82</c:v>
                </c:pt>
                <c:pt idx="11">
                  <c:v>8.5299999999999994</c:v>
                </c:pt>
                <c:pt idx="12">
                  <c:v>11.35</c:v>
                </c:pt>
                <c:pt idx="13">
                  <c:v>10.31</c:v>
                </c:pt>
                <c:pt idx="14">
                  <c:v>9.34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CALC!$AB$27:$AB$28</c:f>
              <c:strCache>
                <c:ptCount val="1"/>
                <c:pt idx="0">
                  <c:v>SambaNova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CALC!$AB$29:$AB$44</c:f>
              <c:numCache>
                <c:formatCode>General</c:formatCode>
                <c:ptCount val="15"/>
                <c:pt idx="10">
                  <c:v>0</c:v>
                </c:pt>
                <c:pt idx="11">
                  <c:v>0.02</c:v>
                </c:pt>
                <c:pt idx="12">
                  <c:v>0.05</c:v>
                </c:pt>
                <c:pt idx="13">
                  <c:v>0.1</c:v>
                </c:pt>
                <c:pt idx="14">
                  <c:v>0.37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CALC!$AC$27:$AC$28</c:f>
              <c:strCache>
                <c:ptCount val="1"/>
                <c:pt idx="0">
                  <c:v>Samsung Foundry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CALC!$AC$29:$AC$44</c:f>
              <c:numCache>
                <c:formatCode>General</c:formatCode>
                <c:ptCount val="15"/>
                <c:pt idx="0">
                  <c:v>3.06</c:v>
                </c:pt>
                <c:pt idx="1">
                  <c:v>3.69</c:v>
                </c:pt>
                <c:pt idx="2">
                  <c:v>4.29</c:v>
                </c:pt>
                <c:pt idx="3">
                  <c:v>5.21</c:v>
                </c:pt>
                <c:pt idx="4">
                  <c:v>5.69</c:v>
                </c:pt>
                <c:pt idx="5">
                  <c:v>6.52</c:v>
                </c:pt>
                <c:pt idx="6">
                  <c:v>8.5500000000000007</c:v>
                </c:pt>
                <c:pt idx="7">
                  <c:v>10.38</c:v>
                </c:pt>
                <c:pt idx="8">
                  <c:v>12.1</c:v>
                </c:pt>
                <c:pt idx="9">
                  <c:v>12.78</c:v>
                </c:pt>
                <c:pt idx="10">
                  <c:v>14.49</c:v>
                </c:pt>
                <c:pt idx="11">
                  <c:v>16.46</c:v>
                </c:pt>
                <c:pt idx="12">
                  <c:v>18.03</c:v>
                </c:pt>
                <c:pt idx="13">
                  <c:v>12.36</c:v>
                </c:pt>
                <c:pt idx="14">
                  <c:v>18.09</c:v>
                </c:pt>
              </c:numCache>
            </c:numRef>
          </c:val>
          <c:smooth val="0"/>
        </c:ser>
        <c:ser>
          <c:idx val="28"/>
          <c:order val="28"/>
          <c:tx>
            <c:strRef>
              <c:f>CALC!$AD$27:$AD$28</c:f>
              <c:strCache>
                <c:ptCount val="1"/>
                <c:pt idx="0">
                  <c:v>Samsung Memory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CALC!$AD$29:$AD$44</c:f>
              <c:numCache>
                <c:formatCode>General</c:formatCode>
                <c:ptCount val="15"/>
                <c:pt idx="0">
                  <c:v>31.08</c:v>
                </c:pt>
                <c:pt idx="1">
                  <c:v>32.71</c:v>
                </c:pt>
                <c:pt idx="2">
                  <c:v>34.69</c:v>
                </c:pt>
                <c:pt idx="3">
                  <c:v>36.29</c:v>
                </c:pt>
                <c:pt idx="4">
                  <c:v>39.06</c:v>
                </c:pt>
                <c:pt idx="5">
                  <c:v>38.92</c:v>
                </c:pt>
                <c:pt idx="6">
                  <c:v>52.14</c:v>
                </c:pt>
                <c:pt idx="7">
                  <c:v>63.85</c:v>
                </c:pt>
                <c:pt idx="8">
                  <c:v>75.95</c:v>
                </c:pt>
                <c:pt idx="9">
                  <c:v>74.27</c:v>
                </c:pt>
                <c:pt idx="10">
                  <c:v>64.28</c:v>
                </c:pt>
                <c:pt idx="11">
                  <c:v>69.3</c:v>
                </c:pt>
                <c:pt idx="12">
                  <c:v>75.7</c:v>
                </c:pt>
                <c:pt idx="13">
                  <c:v>50.38</c:v>
                </c:pt>
                <c:pt idx="14">
                  <c:v>74.790000000000006</c:v>
                </c:pt>
              </c:numCache>
            </c:numRef>
          </c:val>
          <c:smooth val="0"/>
        </c:ser>
        <c:ser>
          <c:idx val="29"/>
          <c:order val="29"/>
          <c:tx>
            <c:strRef>
              <c:f>CALC!$AE$27:$AE$28</c:f>
              <c:strCache>
                <c:ptCount val="1"/>
                <c:pt idx="0">
                  <c:v>SCREEN Holdings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CALC!$AE$29:$AE$44</c:f>
              <c:numCache>
                <c:formatCode>General</c:formatCode>
                <c:ptCount val="15"/>
                <c:pt idx="0">
                  <c:v>1.83</c:v>
                </c:pt>
                <c:pt idx="1">
                  <c:v>1.86</c:v>
                </c:pt>
                <c:pt idx="2">
                  <c:v>1.97</c:v>
                </c:pt>
                <c:pt idx="3">
                  <c:v>2.1</c:v>
                </c:pt>
                <c:pt idx="4">
                  <c:v>2.31</c:v>
                </c:pt>
                <c:pt idx="5">
                  <c:v>2.23</c:v>
                </c:pt>
                <c:pt idx="6">
                  <c:v>2.5</c:v>
                </c:pt>
                <c:pt idx="7">
                  <c:v>2.68</c:v>
                </c:pt>
                <c:pt idx="8">
                  <c:v>2.98</c:v>
                </c:pt>
                <c:pt idx="9">
                  <c:v>2.78</c:v>
                </c:pt>
                <c:pt idx="10">
                  <c:v>2.72</c:v>
                </c:pt>
                <c:pt idx="11">
                  <c:v>3.2</c:v>
                </c:pt>
                <c:pt idx="12">
                  <c:v>4.03</c:v>
                </c:pt>
                <c:pt idx="13">
                  <c:v>4.22</c:v>
                </c:pt>
                <c:pt idx="14">
                  <c:v>4.26</c:v>
                </c:pt>
              </c:numCache>
            </c:numRef>
          </c:val>
          <c:smooth val="0"/>
        </c:ser>
        <c:ser>
          <c:idx val="30"/>
          <c:order val="30"/>
          <c:tx>
            <c:strRef>
              <c:f>CALC!$AF$27:$AF$28</c:f>
              <c:strCache>
                <c:ptCount val="1"/>
                <c:pt idx="0">
                  <c:v>SK Hynix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CALC!$AF$29:$AF$44</c:f>
              <c:numCache>
                <c:formatCode>General</c:formatCode>
                <c:ptCount val="15"/>
                <c:pt idx="0">
                  <c:v>10.61</c:v>
                </c:pt>
                <c:pt idx="1">
                  <c:v>11.58</c:v>
                </c:pt>
                <c:pt idx="2">
                  <c:v>13.32</c:v>
                </c:pt>
                <c:pt idx="3">
                  <c:v>14.58</c:v>
                </c:pt>
                <c:pt idx="4">
                  <c:v>15.24</c:v>
                </c:pt>
                <c:pt idx="5">
                  <c:v>17.489999999999998</c:v>
                </c:pt>
                <c:pt idx="6">
                  <c:v>22.88</c:v>
                </c:pt>
                <c:pt idx="7">
                  <c:v>30.12</c:v>
                </c:pt>
                <c:pt idx="8">
                  <c:v>35.86</c:v>
                </c:pt>
                <c:pt idx="9">
                  <c:v>32.299999999999997</c:v>
                </c:pt>
                <c:pt idx="10">
                  <c:v>27.17</c:v>
                </c:pt>
                <c:pt idx="11">
                  <c:v>30.7</c:v>
                </c:pt>
                <c:pt idx="12">
                  <c:v>34.69</c:v>
                </c:pt>
                <c:pt idx="13">
                  <c:v>25.33</c:v>
                </c:pt>
                <c:pt idx="14">
                  <c:v>51.53</c:v>
                </c:pt>
              </c:numCache>
            </c:numRef>
          </c:val>
          <c:smooth val="0"/>
        </c:ser>
        <c:ser>
          <c:idx val="31"/>
          <c:order val="31"/>
          <c:tx>
            <c:strRef>
              <c:f>CALC!$AG$27:$AG$28</c:f>
              <c:strCache>
                <c:ptCount val="1"/>
                <c:pt idx="0">
                  <c:v>SMIC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CALC!$AG$29:$AG$44</c:f>
              <c:numCache>
                <c:formatCode>General</c:formatCode>
                <c:ptCount val="15"/>
                <c:pt idx="0">
                  <c:v>1.62</c:v>
                </c:pt>
                <c:pt idx="1">
                  <c:v>1.83</c:v>
                </c:pt>
                <c:pt idx="2">
                  <c:v>1.86</c:v>
                </c:pt>
                <c:pt idx="3">
                  <c:v>1.84</c:v>
                </c:pt>
                <c:pt idx="4">
                  <c:v>2.0299999999999998</c:v>
                </c:pt>
                <c:pt idx="5">
                  <c:v>2.16</c:v>
                </c:pt>
                <c:pt idx="6">
                  <c:v>2.68</c:v>
                </c:pt>
                <c:pt idx="7">
                  <c:v>2.99</c:v>
                </c:pt>
                <c:pt idx="8">
                  <c:v>3.23</c:v>
                </c:pt>
                <c:pt idx="9">
                  <c:v>3.64</c:v>
                </c:pt>
                <c:pt idx="10">
                  <c:v>3.92</c:v>
                </c:pt>
                <c:pt idx="11">
                  <c:v>5.52</c:v>
                </c:pt>
                <c:pt idx="12">
                  <c:v>7.09</c:v>
                </c:pt>
                <c:pt idx="13">
                  <c:v>6.72</c:v>
                </c:pt>
                <c:pt idx="14">
                  <c:v>8.1999999999999993</c:v>
                </c:pt>
              </c:numCache>
            </c:numRef>
          </c:val>
          <c:smooth val="0"/>
        </c:ser>
        <c:ser>
          <c:idx val="32"/>
          <c:order val="32"/>
          <c:tx>
            <c:strRef>
              <c:f>CALC!$AH$27:$AH$28</c:f>
              <c:strCache>
                <c:ptCount val="1"/>
                <c:pt idx="0">
                  <c:v>STMicroelectronics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CALC!$AH$29:$AH$44</c:f>
              <c:numCache>
                <c:formatCode>General</c:formatCode>
                <c:ptCount val="15"/>
                <c:pt idx="0">
                  <c:v>9.8699999999999992</c:v>
                </c:pt>
                <c:pt idx="1">
                  <c:v>9.41</c:v>
                </c:pt>
                <c:pt idx="2">
                  <c:v>9.17</c:v>
                </c:pt>
                <c:pt idx="3">
                  <c:v>8.17</c:v>
                </c:pt>
                <c:pt idx="4">
                  <c:v>7.56</c:v>
                </c:pt>
                <c:pt idx="5">
                  <c:v>7.06</c:v>
                </c:pt>
                <c:pt idx="6">
                  <c:v>7.98</c:v>
                </c:pt>
                <c:pt idx="7">
                  <c:v>8.6300000000000008</c:v>
                </c:pt>
                <c:pt idx="8">
                  <c:v>9.3000000000000007</c:v>
                </c:pt>
                <c:pt idx="9">
                  <c:v>10.39</c:v>
                </c:pt>
                <c:pt idx="10">
                  <c:v>10.08</c:v>
                </c:pt>
                <c:pt idx="11">
                  <c:v>13.03</c:v>
                </c:pt>
                <c:pt idx="12">
                  <c:v>16.010000000000002</c:v>
                </c:pt>
                <c:pt idx="13">
                  <c:v>17.600000000000001</c:v>
                </c:pt>
                <c:pt idx="14">
                  <c:v>12.72</c:v>
                </c:pt>
              </c:numCache>
            </c:numRef>
          </c:val>
          <c:smooth val="0"/>
        </c:ser>
        <c:ser>
          <c:idx val="33"/>
          <c:order val="33"/>
          <c:tx>
            <c:strRef>
              <c:f>CALC!$AI$27:$AI$28</c:f>
              <c:strCache>
                <c:ptCount val="1"/>
                <c:pt idx="0">
                  <c:v>Synopsys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CALC!$AI$29:$AI$44</c:f>
              <c:numCache>
                <c:formatCode>General</c:formatCode>
                <c:ptCount val="15"/>
                <c:pt idx="0">
                  <c:v>1.34</c:v>
                </c:pt>
                <c:pt idx="1">
                  <c:v>1.55</c:v>
                </c:pt>
                <c:pt idx="2">
                  <c:v>1.77</c:v>
                </c:pt>
                <c:pt idx="3">
                  <c:v>1.98</c:v>
                </c:pt>
                <c:pt idx="4">
                  <c:v>2.0299999999999998</c:v>
                </c:pt>
                <c:pt idx="5">
                  <c:v>2.25</c:v>
                </c:pt>
                <c:pt idx="6">
                  <c:v>2.5099999999999998</c:v>
                </c:pt>
                <c:pt idx="7">
                  <c:v>2.8</c:v>
                </c:pt>
                <c:pt idx="8">
                  <c:v>3.06</c:v>
                </c:pt>
                <c:pt idx="9">
                  <c:v>3.4</c:v>
                </c:pt>
                <c:pt idx="10">
                  <c:v>3.78</c:v>
                </c:pt>
                <c:pt idx="11">
                  <c:v>4.45</c:v>
                </c:pt>
                <c:pt idx="12">
                  <c:v>4.82</c:v>
                </c:pt>
                <c:pt idx="13">
                  <c:v>5.71</c:v>
                </c:pt>
                <c:pt idx="14">
                  <c:v>5.91</c:v>
                </c:pt>
              </c:numCache>
            </c:numRef>
          </c:val>
          <c:smooth val="0"/>
        </c:ser>
        <c:ser>
          <c:idx val="34"/>
          <c:order val="34"/>
          <c:tx>
            <c:strRef>
              <c:f>CALC!$AJ$27:$AJ$28</c:f>
              <c:strCache>
                <c:ptCount val="1"/>
                <c:pt idx="0">
                  <c:v>Tenstorrent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CALC!$AJ$29:$AJ$44</c:f>
              <c:numCache>
                <c:formatCode>General</c:formatCode>
                <c:ptCount val="15"/>
                <c:pt idx="10">
                  <c:v>0</c:v>
                </c:pt>
                <c:pt idx="11">
                  <c:v>0.01</c:v>
                </c:pt>
                <c:pt idx="12">
                  <c:v>0.05</c:v>
                </c:pt>
                <c:pt idx="13">
                  <c:v>0.1</c:v>
                </c:pt>
                <c:pt idx="14">
                  <c:v>0.31</c:v>
                </c:pt>
              </c:numCache>
            </c:numRef>
          </c:val>
          <c:smooth val="0"/>
        </c:ser>
        <c:ser>
          <c:idx val="35"/>
          <c:order val="35"/>
          <c:tx>
            <c:strRef>
              <c:f>CALC!$AK$27:$AK$28</c:f>
              <c:strCache>
                <c:ptCount val="1"/>
                <c:pt idx="0">
                  <c:v>Texas Instruments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CALC!$AK$29:$AK$44</c:f>
              <c:numCache>
                <c:formatCode>General</c:formatCode>
                <c:ptCount val="15"/>
                <c:pt idx="0">
                  <c:v>13.26</c:v>
                </c:pt>
                <c:pt idx="1">
                  <c:v>13.76</c:v>
                </c:pt>
                <c:pt idx="2">
                  <c:v>13.87</c:v>
                </c:pt>
                <c:pt idx="3">
                  <c:v>13.63</c:v>
                </c:pt>
                <c:pt idx="4">
                  <c:v>13.54</c:v>
                </c:pt>
                <c:pt idx="5">
                  <c:v>12.63</c:v>
                </c:pt>
                <c:pt idx="6">
                  <c:v>14.5</c:v>
                </c:pt>
                <c:pt idx="7">
                  <c:v>15.51</c:v>
                </c:pt>
                <c:pt idx="8">
                  <c:v>16.5</c:v>
                </c:pt>
                <c:pt idx="9">
                  <c:v>15.27</c:v>
                </c:pt>
                <c:pt idx="10">
                  <c:v>14.34</c:v>
                </c:pt>
                <c:pt idx="11">
                  <c:v>17.02</c:v>
                </c:pt>
                <c:pt idx="12">
                  <c:v>19.079999999999998</c:v>
                </c:pt>
                <c:pt idx="13">
                  <c:v>17.22</c:v>
                </c:pt>
                <c:pt idx="14">
                  <c:v>14.89</c:v>
                </c:pt>
              </c:numCache>
            </c:numRef>
          </c:val>
          <c:smooth val="0"/>
        </c:ser>
        <c:ser>
          <c:idx val="36"/>
          <c:order val="36"/>
          <c:tx>
            <c:strRef>
              <c:f>CALC!$AL$27:$AL$28</c:f>
              <c:strCache>
                <c:ptCount val="1"/>
                <c:pt idx="0">
                  <c:v>Tokyo Electron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CALC!$AL$29:$AL$44</c:f>
              <c:numCache>
                <c:formatCode>General</c:formatCode>
                <c:ptCount val="15"/>
                <c:pt idx="0">
                  <c:v>6.88</c:v>
                </c:pt>
                <c:pt idx="1">
                  <c:v>6.28</c:v>
                </c:pt>
                <c:pt idx="2">
                  <c:v>6.1</c:v>
                </c:pt>
                <c:pt idx="3">
                  <c:v>5.79</c:v>
                </c:pt>
                <c:pt idx="4">
                  <c:v>5.53</c:v>
                </c:pt>
                <c:pt idx="5">
                  <c:v>5.26</c:v>
                </c:pt>
                <c:pt idx="6">
                  <c:v>7.3</c:v>
                </c:pt>
                <c:pt idx="7">
                  <c:v>9.6300000000000008</c:v>
                </c:pt>
                <c:pt idx="8">
                  <c:v>11.41</c:v>
                </c:pt>
                <c:pt idx="9">
                  <c:v>10.82</c:v>
                </c:pt>
                <c:pt idx="10">
                  <c:v>11.42</c:v>
                </c:pt>
                <c:pt idx="11">
                  <c:v>13.79</c:v>
                </c:pt>
                <c:pt idx="12">
                  <c:v>16.54</c:v>
                </c:pt>
                <c:pt idx="13">
                  <c:v>14.63</c:v>
                </c:pt>
                <c:pt idx="14">
                  <c:v>13.64</c:v>
                </c:pt>
              </c:numCache>
            </c:numRef>
          </c:val>
          <c:smooth val="0"/>
        </c:ser>
        <c:ser>
          <c:idx val="37"/>
          <c:order val="37"/>
          <c:tx>
            <c:strRef>
              <c:f>CALC!$AM$27:$AM$28</c:f>
              <c:strCache>
                <c:ptCount val="1"/>
                <c:pt idx="0">
                  <c:v>TSMC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CALC!$AM$29:$AM$44</c:f>
              <c:numCache>
                <c:formatCode>General</c:formatCode>
                <c:ptCount val="15"/>
                <c:pt idx="0">
                  <c:v>13.42</c:v>
                </c:pt>
                <c:pt idx="1">
                  <c:v>16.32</c:v>
                </c:pt>
                <c:pt idx="2">
                  <c:v>17.559999999999999</c:v>
                </c:pt>
                <c:pt idx="3">
                  <c:v>21.36</c:v>
                </c:pt>
                <c:pt idx="4">
                  <c:v>23.93</c:v>
                </c:pt>
                <c:pt idx="5">
                  <c:v>27.31</c:v>
                </c:pt>
                <c:pt idx="6">
                  <c:v>29.19</c:v>
                </c:pt>
                <c:pt idx="7">
                  <c:v>32.11</c:v>
                </c:pt>
                <c:pt idx="8">
                  <c:v>34.58</c:v>
                </c:pt>
                <c:pt idx="9">
                  <c:v>40.909999999999997</c:v>
                </c:pt>
                <c:pt idx="10">
                  <c:v>45.25</c:v>
                </c:pt>
                <c:pt idx="11">
                  <c:v>62.97</c:v>
                </c:pt>
                <c:pt idx="12">
                  <c:v>74.930000000000007</c:v>
                </c:pt>
                <c:pt idx="13">
                  <c:v>70.42</c:v>
                </c:pt>
                <c:pt idx="14">
                  <c:v>88.89</c:v>
                </c:pt>
              </c:numCache>
            </c:numRef>
          </c:val>
          <c:smooth val="0"/>
        </c:ser>
        <c:ser>
          <c:idx val="38"/>
          <c:order val="38"/>
          <c:tx>
            <c:strRef>
              <c:f>CALC!$AN$27:$AN$28</c:f>
              <c:strCache>
                <c:ptCount val="1"/>
                <c:pt idx="0">
                  <c:v>UMC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CALC!$AN$29:$AN$44</c:f>
              <c:numCache>
                <c:formatCode>General</c:formatCode>
                <c:ptCount val="15"/>
                <c:pt idx="0">
                  <c:v>4.3499999999999996</c:v>
                </c:pt>
                <c:pt idx="1">
                  <c:v>4.32</c:v>
                </c:pt>
                <c:pt idx="2">
                  <c:v>4.3499999999999996</c:v>
                </c:pt>
                <c:pt idx="3">
                  <c:v>4.6399999999999997</c:v>
                </c:pt>
                <c:pt idx="4">
                  <c:v>4.62</c:v>
                </c:pt>
                <c:pt idx="5">
                  <c:v>4.5199999999999996</c:v>
                </c:pt>
                <c:pt idx="6">
                  <c:v>4.71</c:v>
                </c:pt>
                <c:pt idx="7">
                  <c:v>4.83</c:v>
                </c:pt>
                <c:pt idx="8">
                  <c:v>5.14</c:v>
                </c:pt>
                <c:pt idx="9">
                  <c:v>5.29</c:v>
                </c:pt>
                <c:pt idx="10">
                  <c:v>6.04</c:v>
                </c:pt>
                <c:pt idx="11">
                  <c:v>7.69</c:v>
                </c:pt>
                <c:pt idx="12">
                  <c:v>9.4</c:v>
                </c:pt>
                <c:pt idx="13">
                  <c:v>6.87</c:v>
                </c:pt>
                <c:pt idx="14">
                  <c:v>7.41</c:v>
                </c:pt>
              </c:numCache>
            </c:numRef>
          </c:val>
          <c:smooth val="0"/>
        </c:ser>
        <c:ser>
          <c:idx val="39"/>
          <c:order val="39"/>
          <c:tx>
            <c:strRef>
              <c:f>CALC!$AO$27:$AO$28</c:f>
              <c:strCache>
                <c:ptCount val="1"/>
                <c:pt idx="0">
                  <c:v>Yangtze Memory (YMTC)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CALC!$AO$29:$AO$44</c:f>
              <c:numCache>
                <c:formatCode>General</c:formatCode>
                <c:ptCount val="15"/>
                <c:pt idx="7">
                  <c:v>0.1</c:v>
                </c:pt>
                <c:pt idx="8">
                  <c:v>0.28999999999999998</c:v>
                </c:pt>
                <c:pt idx="9">
                  <c:v>0.51</c:v>
                </c:pt>
                <c:pt idx="10">
                  <c:v>1.23</c:v>
                </c:pt>
                <c:pt idx="11">
                  <c:v>2.1</c:v>
                </c:pt>
                <c:pt idx="12">
                  <c:v>4.12</c:v>
                </c:pt>
                <c:pt idx="13">
                  <c:v>5.17</c:v>
                </c:pt>
                <c:pt idx="14">
                  <c:v>6.62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43394784"/>
        <c:axId val="-1243392608"/>
      </c:lineChart>
      <c:catAx>
        <c:axId val="-1243394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92608"/>
        <c:crosses val="autoZero"/>
        <c:auto val="1"/>
        <c:lblAlgn val="ctr"/>
        <c:lblOffset val="100"/>
        <c:noMultiLvlLbl val="0"/>
      </c:catAx>
      <c:valAx>
        <c:axId val="-124339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9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5885ca-ffa9-4ccd-a2ba-42484e9e6f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Margin Ranking 2024</a:t>
            </a:r>
          </a:p>
          <a:p>
            <a:pPr defTabSz="914400">
              <a:defRPr/>
            </a:pPr>
            <a:r>
              <a:rPr lang="en-US" sz="1100" b="0"/>
              <a:t>8 Companies | Actual Data Only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415789473684199"/>
          <c:y val="0.18541666666666701"/>
          <c:w val="0.65847368421052599"/>
          <c:h val="0.710972222222222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CALC!$A$50:$A$90</c:f>
              <c:strCache>
                <c:ptCount val="40"/>
                <c:pt idx="0">
                  <c:v>AMD</c:v>
                </c:pt>
                <c:pt idx="1">
                  <c:v>Analog Devices</c:v>
                </c:pt>
                <c:pt idx="2">
                  <c:v>Applied Materials</c:v>
                </c:pt>
                <c:pt idx="3">
                  <c:v>ASML</c:v>
                </c:pt>
                <c:pt idx="4">
                  <c:v>Broadcom</c:v>
                </c:pt>
                <c:pt idx="5">
                  <c:v>Cadence</c:v>
                </c:pt>
                <c:pt idx="6">
                  <c:v>Cerebras Systems</c:v>
                </c:pt>
                <c:pt idx="7">
                  <c:v>ChangXin Memory (CXMT)</c:v>
                </c:pt>
                <c:pt idx="8">
                  <c:v>GlobalFoundries</c:v>
                </c:pt>
                <c:pt idx="9">
                  <c:v>Graphcore</c:v>
                </c:pt>
                <c:pt idx="10">
                  <c:v>Groq</c:v>
                </c:pt>
                <c:pt idx="11">
                  <c:v>HiSilicon (Huawei)</c:v>
                </c:pt>
                <c:pt idx="12">
                  <c:v>Hua Hong</c:v>
                </c:pt>
                <c:pt idx="13">
                  <c:v>Infineon</c:v>
                </c:pt>
                <c:pt idx="14">
                  <c:v>Intel</c:v>
                </c:pt>
                <c:pt idx="15">
                  <c:v>KLA</c:v>
                </c:pt>
                <c:pt idx="16">
                  <c:v>Lam Research</c:v>
                </c:pt>
                <c:pt idx="17">
                  <c:v>Marvell</c:v>
                </c:pt>
                <c:pt idx="18">
                  <c:v>MediaTek</c:v>
                </c:pt>
                <c:pt idx="19">
                  <c:v>Microchip</c:v>
                </c:pt>
                <c:pt idx="20">
                  <c:v>Micron</c:v>
                </c:pt>
                <c:pt idx="21">
                  <c:v>NVIDIA</c:v>
                </c:pt>
                <c:pt idx="22">
                  <c:v>NXP Semiconductors</c:v>
                </c:pt>
                <c:pt idx="23">
                  <c:v>Onsemi</c:v>
                </c:pt>
                <c:pt idx="24">
                  <c:v>Qualcomm</c:v>
                </c:pt>
                <c:pt idx="25">
                  <c:v>Renesas</c:v>
                </c:pt>
                <c:pt idx="26">
                  <c:v>SambaNova</c:v>
                </c:pt>
                <c:pt idx="27">
                  <c:v>Samsung Foundry</c:v>
                </c:pt>
                <c:pt idx="28">
                  <c:v>Samsung Memory</c:v>
                </c:pt>
                <c:pt idx="29">
                  <c:v>SCREEN Holdings</c:v>
                </c:pt>
                <c:pt idx="30">
                  <c:v>SK Hynix</c:v>
                </c:pt>
                <c:pt idx="31">
                  <c:v>SMIC</c:v>
                </c:pt>
                <c:pt idx="32">
                  <c:v>STMicroelectronics</c:v>
                </c:pt>
                <c:pt idx="33">
                  <c:v>Synopsys</c:v>
                </c:pt>
                <c:pt idx="34">
                  <c:v>Tenstorrent</c:v>
                </c:pt>
                <c:pt idx="35">
                  <c:v>Texas Instruments</c:v>
                </c:pt>
                <c:pt idx="36">
                  <c:v>Tokyo Electron</c:v>
                </c:pt>
                <c:pt idx="37">
                  <c:v>TSMC</c:v>
                </c:pt>
                <c:pt idx="38">
                  <c:v>UMC</c:v>
                </c:pt>
                <c:pt idx="39">
                  <c:v>Yangtze Memory (YMTC)</c:v>
                </c:pt>
              </c:strCache>
            </c:strRef>
          </c:cat>
          <c:val>
            <c:numRef>
              <c:f>CALC!$B$50:$B$90</c:f>
              <c:numCache>
                <c:formatCode>General</c:formatCode>
                <c:ptCount val="40"/>
                <c:pt idx="0">
                  <c:v>23.6</c:v>
                </c:pt>
                <c:pt idx="1">
                  <c:v>42.3</c:v>
                </c:pt>
                <c:pt idx="2">
                  <c:v>31.1</c:v>
                </c:pt>
                <c:pt idx="3">
                  <c:v>33.299999999999997</c:v>
                </c:pt>
                <c:pt idx="4">
                  <c:v>25.4</c:v>
                </c:pt>
                <c:pt idx="5">
                  <c:v>41.3</c:v>
                </c:pt>
                <c:pt idx="6">
                  <c:v>4.3</c:v>
                </c:pt>
                <c:pt idx="7">
                  <c:v>30</c:v>
                </c:pt>
                <c:pt idx="8">
                  <c:v>37</c:v>
                </c:pt>
                <c:pt idx="9">
                  <c:v>11.1</c:v>
                </c:pt>
                <c:pt idx="10">
                  <c:v>8.5</c:v>
                </c:pt>
                <c:pt idx="11">
                  <c:v>30.2</c:v>
                </c:pt>
                <c:pt idx="12">
                  <c:v>40.299999999999997</c:v>
                </c:pt>
                <c:pt idx="13">
                  <c:v>21.3</c:v>
                </c:pt>
                <c:pt idx="14">
                  <c:v>8.8000000000000007</c:v>
                </c:pt>
                <c:pt idx="15">
                  <c:v>38.1</c:v>
                </c:pt>
                <c:pt idx="16">
                  <c:v>29.9</c:v>
                </c:pt>
                <c:pt idx="17">
                  <c:v>27.5</c:v>
                </c:pt>
                <c:pt idx="18">
                  <c:v>26.4</c:v>
                </c:pt>
                <c:pt idx="19">
                  <c:v>34.4</c:v>
                </c:pt>
                <c:pt idx="20">
                  <c:v>28.4</c:v>
                </c:pt>
                <c:pt idx="21">
                  <c:v>59.5</c:v>
                </c:pt>
                <c:pt idx="22">
                  <c:v>21</c:v>
                </c:pt>
                <c:pt idx="23">
                  <c:v>26.2</c:v>
                </c:pt>
                <c:pt idx="24">
                  <c:v>31.1</c:v>
                </c:pt>
                <c:pt idx="25">
                  <c:v>21.9</c:v>
                </c:pt>
                <c:pt idx="26">
                  <c:v>5.9</c:v>
                </c:pt>
                <c:pt idx="27">
                  <c:v>41.8</c:v>
                </c:pt>
                <c:pt idx="28">
                  <c:v>26.8</c:v>
                </c:pt>
                <c:pt idx="29">
                  <c:v>15.4</c:v>
                </c:pt>
                <c:pt idx="30">
                  <c:v>28.8</c:v>
                </c:pt>
                <c:pt idx="31">
                  <c:v>37.299999999999997</c:v>
                </c:pt>
                <c:pt idx="32">
                  <c:v>22.1</c:v>
                </c:pt>
                <c:pt idx="33">
                  <c:v>36.9</c:v>
                </c:pt>
                <c:pt idx="34">
                  <c:v>11.7</c:v>
                </c:pt>
                <c:pt idx="35">
                  <c:v>42.6</c:v>
                </c:pt>
                <c:pt idx="36">
                  <c:v>21.2</c:v>
                </c:pt>
                <c:pt idx="37">
                  <c:v>41.3</c:v>
                </c:pt>
                <c:pt idx="38">
                  <c:v>35.9</c:v>
                </c:pt>
                <c:pt idx="39">
                  <c:v>31.6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-1243388800"/>
        <c:axId val="-1243386080"/>
      </c:barChart>
      <c:catAx>
        <c:axId val="-12433888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86080"/>
        <c:crosses val="autoZero"/>
        <c:auto val="1"/>
        <c:lblAlgn val="ctr"/>
        <c:lblOffset val="100"/>
        <c:noMultiLvlLbl val="0"/>
      </c:catAx>
      <c:valAx>
        <c:axId val="-12433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8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74335044330396"/>
          <c:y val="0.170873352691535"/>
          <c:w val="0.136257582827811"/>
          <c:h val="0.66741121286575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2813ae-8b02-488c-afd6-6d8c03919f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[semiconductor_dashboard.xlsx]CALC!PivotTable4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Chip Price Trends</a:t>
            </a:r>
          </a:p>
          <a:p>
            <a:pPr defTabSz="914400">
              <a:defRPr/>
            </a:pPr>
            <a:r>
              <a:rPr lang="en-US" sz="1100" b="0"/>
              <a:t>Memory vs GPU | Dual Y Axis | 2014–2026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102092903948001"/>
          <c:y val="0.13720875500117699"/>
          <c:w val="0.60584210526315796"/>
          <c:h val="0.59037037037036999"/>
        </c:manualLayout>
      </c:layout>
      <c:lineChart>
        <c:grouping val="standard"/>
        <c:varyColors val="0"/>
        <c:ser>
          <c:idx val="0"/>
          <c:order val="0"/>
          <c:tx>
            <c:strRef>
              <c:f>CALC!$B$95:$B$96</c:f>
              <c:strCache>
                <c:ptCount val="1"/>
                <c:pt idx="0">
                  <c:v>DRAM_DDR4_8Gb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CALC!$B$97:$B$110</c:f>
              <c:numCache>
                <c:formatCode>General</c:formatCode>
                <c:ptCount val="13"/>
                <c:pt idx="0">
                  <c:v>3.9408333333333299</c:v>
                </c:pt>
                <c:pt idx="1">
                  <c:v>2.9791666666666701</c:v>
                </c:pt>
                <c:pt idx="2">
                  <c:v>3.1366666666666698</c:v>
                </c:pt>
                <c:pt idx="3">
                  <c:v>5.4474999999999998</c:v>
                </c:pt>
                <c:pt idx="4">
                  <c:v>7.7949999999999999</c:v>
                </c:pt>
                <c:pt idx="5">
                  <c:v>4.8833333333333302</c:v>
                </c:pt>
                <c:pt idx="6">
                  <c:v>3.1016666666666701</c:v>
                </c:pt>
                <c:pt idx="7">
                  <c:v>3.6883333333333299</c:v>
                </c:pt>
                <c:pt idx="8">
                  <c:v>3.21166666666667</c:v>
                </c:pt>
                <c:pt idx="9">
                  <c:v>1.64916666666667</c:v>
                </c:pt>
                <c:pt idx="10">
                  <c:v>2.0333333333333301</c:v>
                </c:pt>
                <c:pt idx="11">
                  <c:v>1.96583333333333</c:v>
                </c:pt>
                <c:pt idx="12">
                  <c:v>2.16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CALC!$C$95:$C$96</c:f>
              <c:strCache>
                <c:ptCount val="1"/>
                <c:pt idx="0">
                  <c:v>HBM3_stack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CALC!$C$97:$C$110</c:f>
              <c:numCache>
                <c:formatCode>General</c:formatCode>
                <c:ptCount val="13"/>
                <c:pt idx="8">
                  <c:v>233.15333333333299</c:v>
                </c:pt>
                <c:pt idx="9">
                  <c:v>359.58333333333297</c:v>
                </c:pt>
                <c:pt idx="10">
                  <c:v>592.70000000000005</c:v>
                </c:pt>
                <c:pt idx="11">
                  <c:v>748.89499999999998</c:v>
                </c:pt>
                <c:pt idx="12">
                  <c:v>796.41499999999996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CALC!$D$95:$D$96</c:f>
              <c:strCache>
                <c:ptCount val="1"/>
                <c:pt idx="0">
                  <c:v>NAND_64Gb_MLC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CALC!$D$97:$D$110</c:f>
              <c:numCache>
                <c:formatCode>General</c:formatCode>
                <c:ptCount val="13"/>
                <c:pt idx="0">
                  <c:v>2.87</c:v>
                </c:pt>
                <c:pt idx="1">
                  <c:v>2.2324999999999999</c:v>
                </c:pt>
                <c:pt idx="2">
                  <c:v>2.6558333333333302</c:v>
                </c:pt>
                <c:pt idx="3">
                  <c:v>4.4408333333333303</c:v>
                </c:pt>
                <c:pt idx="4">
                  <c:v>4.8</c:v>
                </c:pt>
                <c:pt idx="5">
                  <c:v>4.0333333333333297</c:v>
                </c:pt>
                <c:pt idx="6">
                  <c:v>4.5091666666666699</c:v>
                </c:pt>
                <c:pt idx="7">
                  <c:v>4.8158333333333303</c:v>
                </c:pt>
                <c:pt idx="8">
                  <c:v>4.3066666666666702</c:v>
                </c:pt>
                <c:pt idx="9">
                  <c:v>3.6183333333333301</c:v>
                </c:pt>
                <c:pt idx="10">
                  <c:v>4.2141666666666699</c:v>
                </c:pt>
                <c:pt idx="11">
                  <c:v>4.12916666666667</c:v>
                </c:pt>
                <c:pt idx="12">
                  <c:v>4.0425000000000004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43384448"/>
        <c:axId val="-1243383904"/>
      </c:lineChart>
      <c:lineChart>
        <c:grouping val="standard"/>
        <c:varyColors val="0"/>
        <c:ser>
          <c:idx val="3"/>
          <c:order val="3"/>
          <c:tx>
            <c:strRef>
              <c:f>CALC!$E$95:$E$96</c:f>
              <c:strCache>
                <c:ptCount val="1"/>
                <c:pt idx="0">
                  <c:v>NVIDIA_B200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CALC!$E$97:$E$110</c:f>
              <c:numCache>
                <c:formatCode>General</c:formatCode>
                <c:ptCount val="13"/>
                <c:pt idx="10">
                  <c:v>40206.559999999998</c:v>
                </c:pt>
                <c:pt idx="11">
                  <c:v>34074.76</c:v>
                </c:pt>
                <c:pt idx="12">
                  <c:v>31210.685000000001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CALC!$F$95:$F$96</c:f>
              <c:strCache>
                <c:ptCount val="1"/>
                <c:pt idx="0">
                  <c:v>NVIDIA_H100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CALC!$F$97:$F$110</c:f>
              <c:numCache>
                <c:formatCode>General</c:formatCode>
                <c:ptCount val="13"/>
                <c:pt idx="9">
                  <c:v>33730.366999999998</c:v>
                </c:pt>
                <c:pt idx="10">
                  <c:v>28286.465</c:v>
                </c:pt>
                <c:pt idx="11">
                  <c:v>24477.73</c:v>
                </c:pt>
                <c:pt idx="12">
                  <c:v>20303.22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43382816"/>
        <c:axId val="-1243397504"/>
      </c:lineChart>
      <c:catAx>
        <c:axId val="-1243384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83904"/>
        <c:crosses val="autoZero"/>
        <c:auto val="1"/>
        <c:lblAlgn val="ctr"/>
        <c:lblOffset val="100"/>
        <c:noMultiLvlLbl val="0"/>
      </c:catAx>
      <c:valAx>
        <c:axId val="-12433839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Price (USD)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84448"/>
        <c:crosses val="autoZero"/>
        <c:crossBetween val="between"/>
      </c:valAx>
      <c:catAx>
        <c:axId val="-1243382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243397504"/>
        <c:crosses val="autoZero"/>
        <c:auto val="1"/>
        <c:lblAlgn val="ctr"/>
        <c:lblOffset val="100"/>
        <c:noMultiLvlLbl val="0"/>
      </c:catAx>
      <c:valAx>
        <c:axId val="-12433975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GPU Price (USD)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82816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87529473408406"/>
          <c:y val="0.179171597633136"/>
          <c:w val="0.15885075539254201"/>
          <c:h val="0.490650887573965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22bae8-b937-47ea-ad6f-daeda50d58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Fab Capacity by Region</a:t>
            </a:r>
          </a:p>
          <a:p>
            <a:pPr defTabSz="914400">
              <a:defRPr/>
            </a:pPr>
            <a:r>
              <a:rPr lang="en-US" sz="1100" b="0"/>
              <a:t>2024 | By Process Node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2681760204081601E-2"/>
          <c:y val="0.149484536082474"/>
          <c:w val="0.72324617346938802"/>
          <c:h val="0.74664948453608204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CALC!$B$115:$B$116</c:f>
              <c:strCache>
                <c:ptCount val="1"/>
                <c:pt idx="0">
                  <c:v>Advanced (7-16nm)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CALC!$A$117:$A$124</c:f>
              <c:strCache>
                <c:ptCount val="7"/>
                <c:pt idx="0">
                  <c:v>China</c:v>
                </c:pt>
                <c:pt idx="1">
                  <c:v>Europe</c:v>
                </c:pt>
                <c:pt idx="2">
                  <c:v>Japan</c:v>
                </c:pt>
                <c:pt idx="3">
                  <c:v>Middle East</c:v>
                </c:pt>
                <c:pt idx="4">
                  <c:v>South Korea</c:v>
                </c:pt>
                <c:pt idx="5">
                  <c:v>Taiwan</c:v>
                </c:pt>
                <c:pt idx="6">
                  <c:v>USA</c:v>
                </c:pt>
              </c:strCache>
            </c:strRef>
          </c:cat>
          <c:val>
            <c:numRef>
              <c:f>CALC!$B$117:$B$124</c:f>
              <c:numCache>
                <c:formatCode>General</c:formatCode>
                <c:ptCount val="7"/>
                <c:pt idx="0">
                  <c:v>360099</c:v>
                </c:pt>
                <c:pt idx="3">
                  <c:v>0</c:v>
                </c:pt>
                <c:pt idx="4">
                  <c:v>1609862</c:v>
                </c:pt>
                <c:pt idx="5">
                  <c:v>540761</c:v>
                </c:pt>
                <c:pt idx="6">
                  <c:v>545000</c:v>
                </c:pt>
              </c:numCache>
            </c:numRef>
          </c:val>
        </c:ser>
        <c:ser>
          <c:idx val="1"/>
          <c:order val="1"/>
          <c:tx>
            <c:strRef>
              <c:f>CALC!$C$115:$C$116</c:f>
              <c:strCache>
                <c:ptCount val="1"/>
                <c:pt idx="0">
                  <c:v>Leading Edge (3-5nm)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CALC!$A$117:$A$124</c:f>
              <c:strCache>
                <c:ptCount val="7"/>
                <c:pt idx="0">
                  <c:v>China</c:v>
                </c:pt>
                <c:pt idx="1">
                  <c:v>Europe</c:v>
                </c:pt>
                <c:pt idx="2">
                  <c:v>Japan</c:v>
                </c:pt>
                <c:pt idx="3">
                  <c:v>Middle East</c:v>
                </c:pt>
                <c:pt idx="4">
                  <c:v>South Korea</c:v>
                </c:pt>
                <c:pt idx="5">
                  <c:v>Taiwan</c:v>
                </c:pt>
                <c:pt idx="6">
                  <c:v>USA</c:v>
                </c:pt>
              </c:strCache>
            </c:strRef>
          </c:cat>
          <c:val>
            <c:numRef>
              <c:f>CALC!$C$117:$C$124</c:f>
              <c:numCache>
                <c:formatCode>General</c:formatCode>
                <c:ptCount val="7"/>
                <c:pt idx="4">
                  <c:v>138187</c:v>
                </c:pt>
                <c:pt idx="5">
                  <c:v>226176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CALC!$D$115:$D$116</c:f>
              <c:strCache>
                <c:ptCount val="1"/>
                <c:pt idx="0">
                  <c:v>Legacy (40nm+)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CALC!$A$117:$A$124</c:f>
              <c:strCache>
                <c:ptCount val="7"/>
                <c:pt idx="0">
                  <c:v>China</c:v>
                </c:pt>
                <c:pt idx="1">
                  <c:v>Europe</c:v>
                </c:pt>
                <c:pt idx="2">
                  <c:v>Japan</c:v>
                </c:pt>
                <c:pt idx="3">
                  <c:v>Middle East</c:v>
                </c:pt>
                <c:pt idx="4">
                  <c:v>South Korea</c:v>
                </c:pt>
                <c:pt idx="5">
                  <c:v>Taiwan</c:v>
                </c:pt>
                <c:pt idx="6">
                  <c:v>USA</c:v>
                </c:pt>
              </c:strCache>
            </c:strRef>
          </c:cat>
          <c:val>
            <c:numRef>
              <c:f>CALC!$D$117:$D$124</c:f>
              <c:numCache>
                <c:formatCode>General</c:formatCode>
                <c:ptCount val="7"/>
                <c:pt idx="1">
                  <c:v>211964</c:v>
                </c:pt>
                <c:pt idx="2">
                  <c:v>45954</c:v>
                </c:pt>
              </c:numCache>
            </c:numRef>
          </c:val>
        </c:ser>
        <c:ser>
          <c:idx val="3"/>
          <c:order val="3"/>
          <c:tx>
            <c:strRef>
              <c:f>CALC!$E$115:$E$116</c:f>
              <c:strCache>
                <c:ptCount val="1"/>
                <c:pt idx="0">
                  <c:v>Mature (22-28nm)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CALC!$A$117:$A$124</c:f>
              <c:strCache>
                <c:ptCount val="7"/>
                <c:pt idx="0">
                  <c:v>China</c:v>
                </c:pt>
                <c:pt idx="1">
                  <c:v>Europe</c:v>
                </c:pt>
                <c:pt idx="2">
                  <c:v>Japan</c:v>
                </c:pt>
                <c:pt idx="3">
                  <c:v>Middle East</c:v>
                </c:pt>
                <c:pt idx="4">
                  <c:v>South Korea</c:v>
                </c:pt>
                <c:pt idx="5">
                  <c:v>Taiwan</c:v>
                </c:pt>
                <c:pt idx="6">
                  <c:v>USA</c:v>
                </c:pt>
              </c:strCache>
            </c:strRef>
          </c:cat>
          <c:val>
            <c:numRef>
              <c:f>CALC!$E$117:$E$124</c:f>
              <c:numCache>
                <c:formatCode>General</c:formatCode>
                <c:ptCount val="7"/>
                <c:pt idx="0">
                  <c:v>129906</c:v>
                </c:pt>
                <c:pt idx="1">
                  <c:v>48963</c:v>
                </c:pt>
                <c:pt idx="2">
                  <c:v>0</c:v>
                </c:pt>
                <c:pt idx="5">
                  <c:v>307760</c:v>
                </c:pt>
                <c:pt idx="6">
                  <c:v>137548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-1243394240"/>
        <c:axId val="-1243393152"/>
      </c:barChart>
      <c:catAx>
        <c:axId val="-124339424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93152"/>
        <c:crosses val="autoZero"/>
        <c:auto val="1"/>
        <c:lblAlgn val="ctr"/>
        <c:lblOffset val="100"/>
        <c:noMultiLvlLbl val="0"/>
      </c:catAx>
      <c:valAx>
        <c:axId val="-124339315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339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22856c-e6de-4b96-9aa9-2644e4dda3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Export Control Severity</a:t>
            </a:r>
          </a:p>
          <a:p>
            <a:pPr defTabSz="914400">
              <a:defRPr/>
            </a:pPr>
            <a:r>
              <a:rPr lang="en-US" sz="1100" b="0"/>
              <a:t>Cumulative Score | US-China-Netherlands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CALC!$C$129</c:f>
              <c:strCache>
                <c:ptCount val="1"/>
                <c:pt idx="0">
                  <c:v>Sum of Severity_score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CALC!$A$130:$B$142</c:f>
              <c:multiLvlStrCache>
                <c:ptCount val="9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2025</c:v>
                  </c:pt>
                  <c:pt idx="8">
                    <c:v>2026</c:v>
                  </c:pt>
                </c:lvl>
                <c:lvl>
                  <c:pt idx="0">
                    <c:v>Biden</c:v>
                  </c:pt>
                  <c:pt idx="4">
                    <c:v>Trump 1.0</c:v>
                  </c:pt>
                  <c:pt idx="7">
                    <c:v>Trump 2.0</c:v>
                  </c:pt>
                </c:lvl>
              </c:multiLvlStrCache>
            </c:multiLvlStrRef>
          </c:cat>
          <c:val>
            <c:numRef>
              <c:f>CALC!$C$130:$C$142</c:f>
              <c:numCache>
                <c:formatCode>General</c:formatCode>
                <c:ptCount val="9"/>
                <c:pt idx="0">
                  <c:v>5</c:v>
                </c:pt>
                <c:pt idx="1">
                  <c:v>36</c:v>
                </c:pt>
                <c:pt idx="2">
                  <c:v>52</c:v>
                </c:pt>
                <c:pt idx="3">
                  <c:v>40</c:v>
                </c:pt>
                <c:pt idx="4">
                  <c:v>5</c:v>
                </c:pt>
                <c:pt idx="5">
                  <c:v>12</c:v>
                </c:pt>
                <c:pt idx="6">
                  <c:v>24</c:v>
                </c:pt>
                <c:pt idx="7">
                  <c:v>48</c:v>
                </c:pt>
                <c:pt idx="8">
                  <c:v>24</c:v>
                </c:pt>
              </c:numCache>
            </c:numRef>
          </c:val>
        </c:ser>
        <c:ser>
          <c:idx val="1"/>
          <c:order val="1"/>
          <c:tx>
            <c:strRef>
              <c:f>CALC!$D$129</c:f>
              <c:strCache>
                <c:ptCount val="1"/>
                <c:pt idx="0">
                  <c:v>Count of Control_id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CALC!$A$130:$B$142</c:f>
              <c:multiLvlStrCache>
                <c:ptCount val="9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2025</c:v>
                  </c:pt>
                  <c:pt idx="8">
                    <c:v>2026</c:v>
                  </c:pt>
                </c:lvl>
                <c:lvl>
                  <c:pt idx="0">
                    <c:v>Biden</c:v>
                  </c:pt>
                  <c:pt idx="4">
                    <c:v>Trump 1.0</c:v>
                  </c:pt>
                  <c:pt idx="7">
                    <c:v>Trump 2.0</c:v>
                  </c:pt>
                </c:lvl>
              </c:multiLvlStrCache>
            </c:multiLvlStrRef>
          </c:cat>
          <c:val>
            <c:numRef>
              <c:f>CALC!$D$130:$D$142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7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-1194638880"/>
        <c:axId val="-1194642688"/>
      </c:barChart>
      <c:catAx>
        <c:axId val="-1194638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42688"/>
        <c:crosses val="autoZero"/>
        <c:auto val="1"/>
        <c:lblAlgn val="ctr"/>
        <c:lblOffset val="100"/>
        <c:noMultiLvlLbl val="0"/>
      </c:catAx>
      <c:valAx>
        <c:axId val="-119464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3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dbc97d-9cea-4a6c-a4f3-15e25fb0d4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[semiconductor_dashboard.xlsx]CALC!PivotTable1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sz="1400"/>
              <a:t>AI Chip Revenue by Vendor</a:t>
            </a:r>
          </a:p>
          <a:p>
            <a:pPr defTabSz="914400">
              <a:defRPr/>
            </a:pPr>
            <a:r>
              <a:rPr lang="en-US" sz="1200" b="0"/>
              <a:t>Top 5 Vendors | USD Million | 2020–2026</a:t>
            </a:r>
          </a:p>
        </c:rich>
      </c:tx>
      <c:layout>
        <c:manualLayout>
          <c:xMode val="edge"/>
          <c:yMode val="edge"/>
          <c:x val="0.29122547812525701"/>
          <c:y val="4.10958904109589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08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CALC!$B$9:$B$10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CALC!$B$11:$B$16</c:f>
              <c:numCache>
                <c:formatCode>General</c:formatCode>
                <c:ptCount val="5"/>
                <c:pt idx="2">
                  <c:v>11.2</c:v>
                </c:pt>
                <c:pt idx="3">
                  <c:v>16.2</c:v>
                </c:pt>
                <c:pt idx="4">
                  <c:v>572.70000000000005</c:v>
                </c:pt>
              </c:numCache>
            </c:numRef>
          </c:val>
        </c:ser>
        <c:ser>
          <c:idx val="1"/>
          <c:order val="1"/>
          <c:tx>
            <c:strRef>
              <c:f>CALC!$C$9:$C$10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CALC!$C$11:$C$16</c:f>
              <c:numCache>
                <c:formatCode>General</c:formatCode>
                <c:ptCount val="5"/>
                <c:pt idx="0">
                  <c:v>0.3</c:v>
                </c:pt>
                <c:pt idx="2">
                  <c:v>7.6</c:v>
                </c:pt>
                <c:pt idx="3">
                  <c:v>12.2</c:v>
                </c:pt>
                <c:pt idx="4">
                  <c:v>3115.6</c:v>
                </c:pt>
              </c:numCache>
            </c:numRef>
          </c:val>
        </c:ser>
        <c:ser>
          <c:idx val="2"/>
          <c:order val="2"/>
          <c:tx>
            <c:strRef>
              <c:f>CALC!$D$9:$D$10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CALC!$D$11:$D$16</c:f>
              <c:numCache>
                <c:formatCode>General</c:formatCode>
                <c:ptCount val="5"/>
                <c:pt idx="0">
                  <c:v>15.4</c:v>
                </c:pt>
                <c:pt idx="1">
                  <c:v>0</c:v>
                </c:pt>
                <c:pt idx="2">
                  <c:v>20.3</c:v>
                </c:pt>
                <c:pt idx="3">
                  <c:v>5.0999999999999996</c:v>
                </c:pt>
                <c:pt idx="4">
                  <c:v>2226.6</c:v>
                </c:pt>
              </c:numCache>
            </c:numRef>
          </c:val>
        </c:ser>
        <c:ser>
          <c:idx val="3"/>
          <c:order val="3"/>
          <c:tx>
            <c:strRef>
              <c:f>CALC!$E$9:$E$10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CALC!$E$11:$E$16</c:f>
              <c:numCache>
                <c:formatCode>General</c:formatCode>
                <c:ptCount val="5"/>
                <c:pt idx="0">
                  <c:v>10.7</c:v>
                </c:pt>
                <c:pt idx="1">
                  <c:v>2737.8</c:v>
                </c:pt>
                <c:pt idx="2">
                  <c:v>914.1</c:v>
                </c:pt>
                <c:pt idx="3">
                  <c:v>477.9</c:v>
                </c:pt>
                <c:pt idx="4">
                  <c:v>19454</c:v>
                </c:pt>
              </c:numCache>
            </c:numRef>
          </c:val>
        </c:ser>
        <c:ser>
          <c:idx val="4"/>
          <c:order val="4"/>
          <c:tx>
            <c:strRef>
              <c:f>CALC!$F$9:$F$10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CALC!$F$11:$F$16</c:f>
              <c:numCache>
                <c:formatCode>General</c:formatCode>
                <c:ptCount val="5"/>
                <c:pt idx="0">
                  <c:v>7518.2</c:v>
                </c:pt>
                <c:pt idx="1">
                  <c:v>1671.6</c:v>
                </c:pt>
                <c:pt idx="2">
                  <c:v>11431.3</c:v>
                </c:pt>
                <c:pt idx="3">
                  <c:v>4981.7</c:v>
                </c:pt>
                <c:pt idx="4">
                  <c:v>83456.800000000003</c:v>
                </c:pt>
              </c:numCache>
            </c:numRef>
          </c:val>
        </c:ser>
        <c:ser>
          <c:idx val="5"/>
          <c:order val="5"/>
          <c:tx>
            <c:strRef>
              <c:f>CALC!$G$9:$G$10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CALC!$G$11:$G$16</c:f>
              <c:numCache>
                <c:formatCode>General</c:formatCode>
                <c:ptCount val="5"/>
                <c:pt idx="0">
                  <c:v>7812.5</c:v>
                </c:pt>
                <c:pt idx="1">
                  <c:v>2008.9</c:v>
                </c:pt>
                <c:pt idx="2">
                  <c:v>7379.7</c:v>
                </c:pt>
                <c:pt idx="3">
                  <c:v>4195</c:v>
                </c:pt>
                <c:pt idx="4">
                  <c:v>87834</c:v>
                </c:pt>
              </c:numCache>
            </c:numRef>
          </c:val>
        </c:ser>
        <c:ser>
          <c:idx val="6"/>
          <c:order val="6"/>
          <c:tx>
            <c:strRef>
              <c:f>CALC!$H$9:$H$10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CALC!$H$11:$H$16</c:f>
              <c:numCache>
                <c:formatCode>General</c:formatCode>
                <c:ptCount val="5"/>
                <c:pt idx="0">
                  <c:v>3809.5</c:v>
                </c:pt>
                <c:pt idx="1">
                  <c:v>1555.5</c:v>
                </c:pt>
                <c:pt idx="2">
                  <c:v>3601.6</c:v>
                </c:pt>
                <c:pt idx="3">
                  <c:v>2019.4</c:v>
                </c:pt>
                <c:pt idx="4">
                  <c:v>57404.800000000003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0"/>
        <c:overlap val="-32"/>
        <c:axId val="-1194631264"/>
        <c:axId val="-1194629088"/>
      </c:barChart>
      <c:catAx>
        <c:axId val="-119463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-1194629088"/>
        <c:crosses val="autoZero"/>
        <c:auto val="1"/>
        <c:lblAlgn val="ctr"/>
        <c:lblOffset val="100"/>
        <c:noMultiLvlLbl val="0"/>
      </c:catAx>
      <c:valAx>
        <c:axId val="-11946290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1946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919970450627901"/>
          <c:y val="0.28219178082191798"/>
          <c:w val="0.46482803907083597"/>
          <c:h val="0.143835616438355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099b33-a4c5-43a0-9704-0fabcdd7833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[semiconductor_dashboard.xlsx]CALC!PivotTable1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CALC!$B$9:$B$10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CALC!$B$11:$B$16</c:f>
              <c:numCache>
                <c:formatCode>General</c:formatCode>
                <c:ptCount val="5"/>
                <c:pt idx="2">
                  <c:v>11.2</c:v>
                </c:pt>
                <c:pt idx="3">
                  <c:v>16.2</c:v>
                </c:pt>
                <c:pt idx="4">
                  <c:v>572.70000000000005</c:v>
                </c:pt>
              </c:numCache>
            </c:numRef>
          </c:val>
        </c:ser>
        <c:ser>
          <c:idx val="1"/>
          <c:order val="1"/>
          <c:tx>
            <c:strRef>
              <c:f>CALC!$C$9:$C$10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CALC!$C$11:$C$16</c:f>
              <c:numCache>
                <c:formatCode>General</c:formatCode>
                <c:ptCount val="5"/>
                <c:pt idx="0">
                  <c:v>0.3</c:v>
                </c:pt>
                <c:pt idx="2">
                  <c:v>7.6</c:v>
                </c:pt>
                <c:pt idx="3">
                  <c:v>12.2</c:v>
                </c:pt>
                <c:pt idx="4">
                  <c:v>3115.6</c:v>
                </c:pt>
              </c:numCache>
            </c:numRef>
          </c:val>
        </c:ser>
        <c:ser>
          <c:idx val="2"/>
          <c:order val="2"/>
          <c:tx>
            <c:strRef>
              <c:f>CALC!$D$9:$D$10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CALC!$D$11:$D$16</c:f>
              <c:numCache>
                <c:formatCode>General</c:formatCode>
                <c:ptCount val="5"/>
                <c:pt idx="0">
                  <c:v>15.4</c:v>
                </c:pt>
                <c:pt idx="1">
                  <c:v>0</c:v>
                </c:pt>
                <c:pt idx="2">
                  <c:v>20.3</c:v>
                </c:pt>
                <c:pt idx="3">
                  <c:v>5.0999999999999996</c:v>
                </c:pt>
                <c:pt idx="4">
                  <c:v>2226.6</c:v>
                </c:pt>
              </c:numCache>
            </c:numRef>
          </c:val>
        </c:ser>
        <c:ser>
          <c:idx val="3"/>
          <c:order val="3"/>
          <c:tx>
            <c:strRef>
              <c:f>CALC!$E$9:$E$10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CALC!$E$11:$E$16</c:f>
              <c:numCache>
                <c:formatCode>General</c:formatCode>
                <c:ptCount val="5"/>
                <c:pt idx="0">
                  <c:v>10.7</c:v>
                </c:pt>
                <c:pt idx="1">
                  <c:v>2737.8</c:v>
                </c:pt>
                <c:pt idx="2">
                  <c:v>914.1</c:v>
                </c:pt>
                <c:pt idx="3">
                  <c:v>477.9</c:v>
                </c:pt>
                <c:pt idx="4">
                  <c:v>19454</c:v>
                </c:pt>
              </c:numCache>
            </c:numRef>
          </c:val>
        </c:ser>
        <c:ser>
          <c:idx val="4"/>
          <c:order val="4"/>
          <c:tx>
            <c:strRef>
              <c:f>CALC!$F$9:$F$10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CALC!$F$11:$F$16</c:f>
              <c:numCache>
                <c:formatCode>General</c:formatCode>
                <c:ptCount val="5"/>
                <c:pt idx="0">
                  <c:v>7518.2</c:v>
                </c:pt>
                <c:pt idx="1">
                  <c:v>1671.6</c:v>
                </c:pt>
                <c:pt idx="2">
                  <c:v>11431.3</c:v>
                </c:pt>
                <c:pt idx="3">
                  <c:v>4981.7</c:v>
                </c:pt>
                <c:pt idx="4">
                  <c:v>83456.800000000003</c:v>
                </c:pt>
              </c:numCache>
            </c:numRef>
          </c:val>
        </c:ser>
        <c:ser>
          <c:idx val="5"/>
          <c:order val="5"/>
          <c:tx>
            <c:strRef>
              <c:f>CALC!$G$9:$G$10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CALC!$G$11:$G$16</c:f>
              <c:numCache>
                <c:formatCode>General</c:formatCode>
                <c:ptCount val="5"/>
                <c:pt idx="0">
                  <c:v>7812.5</c:v>
                </c:pt>
                <c:pt idx="1">
                  <c:v>2008.9</c:v>
                </c:pt>
                <c:pt idx="2">
                  <c:v>7379.7</c:v>
                </c:pt>
                <c:pt idx="3">
                  <c:v>4195</c:v>
                </c:pt>
                <c:pt idx="4">
                  <c:v>87834</c:v>
                </c:pt>
              </c:numCache>
            </c:numRef>
          </c:val>
        </c:ser>
        <c:ser>
          <c:idx val="6"/>
          <c:order val="6"/>
          <c:tx>
            <c:strRef>
              <c:f>CALC!$H$9:$H$10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CALC!$A$11:$A$16</c:f>
              <c:strCache>
                <c:ptCount val="5"/>
                <c:pt idx="0">
                  <c:v>AMD</c:v>
                </c:pt>
                <c:pt idx="1">
                  <c:v>AWS</c:v>
                </c:pt>
                <c:pt idx="2">
                  <c:v>Google</c:v>
                </c:pt>
                <c:pt idx="3">
                  <c:v>Huawei</c:v>
                </c:pt>
                <c:pt idx="4">
                  <c:v>NVIDIA</c:v>
                </c:pt>
              </c:strCache>
            </c:strRef>
          </c:cat>
          <c:val>
            <c:numRef>
              <c:f>CALC!$H$11:$H$16</c:f>
              <c:numCache>
                <c:formatCode>General</c:formatCode>
                <c:ptCount val="5"/>
                <c:pt idx="0">
                  <c:v>3809.5</c:v>
                </c:pt>
                <c:pt idx="1">
                  <c:v>1555.5</c:v>
                </c:pt>
                <c:pt idx="2">
                  <c:v>3601.6</c:v>
                </c:pt>
                <c:pt idx="3">
                  <c:v>2019.4</c:v>
                </c:pt>
                <c:pt idx="4">
                  <c:v>57404.800000000003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0"/>
        <c:overlap val="-32"/>
        <c:axId val="-1194641056"/>
        <c:axId val="-1194636704"/>
      </c:barChart>
      <c:catAx>
        <c:axId val="-119464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-1194636704"/>
        <c:crosses val="autoZero"/>
        <c:auto val="1"/>
        <c:lblAlgn val="ctr"/>
        <c:lblOffset val="100"/>
        <c:noMultiLvlLbl val="0"/>
      </c:catAx>
      <c:valAx>
        <c:axId val="-11946367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19464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099b33-a4c5-43a0-9704-0fabcdd7833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[semiconductor_dashboard.xlsx]CALC!PivotTable2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CALC!$B$27:$B$28</c:f>
              <c:strCache>
                <c:ptCount val="1"/>
                <c:pt idx="0">
                  <c:v>AMD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CALC!$B$29:$B$44</c:f>
              <c:numCache>
                <c:formatCode>General</c:formatCode>
                <c:ptCount val="15"/>
                <c:pt idx="0">
                  <c:v>6.11</c:v>
                </c:pt>
                <c:pt idx="1">
                  <c:v>5.85</c:v>
                </c:pt>
                <c:pt idx="2">
                  <c:v>5.36</c:v>
                </c:pt>
                <c:pt idx="3">
                  <c:v>5.14</c:v>
                </c:pt>
                <c:pt idx="4">
                  <c:v>4.5</c:v>
                </c:pt>
                <c:pt idx="5">
                  <c:v>3.96</c:v>
                </c:pt>
                <c:pt idx="6">
                  <c:v>4.91</c:v>
                </c:pt>
                <c:pt idx="7">
                  <c:v>5.64</c:v>
                </c:pt>
                <c:pt idx="8">
                  <c:v>6.46</c:v>
                </c:pt>
                <c:pt idx="9">
                  <c:v>8.19</c:v>
                </c:pt>
                <c:pt idx="10">
                  <c:v>9.83</c:v>
                </c:pt>
                <c:pt idx="11">
                  <c:v>18.010000000000002</c:v>
                </c:pt>
                <c:pt idx="12">
                  <c:v>23</c:v>
                </c:pt>
                <c:pt idx="13">
                  <c:v>21.72</c:v>
                </c:pt>
                <c:pt idx="14">
                  <c:v>26.05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CALC!$C$27:$C$28</c:f>
              <c:strCache>
                <c:ptCount val="1"/>
                <c:pt idx="0">
                  <c:v>Analog Devices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CALC!$C$29:$C$44</c:f>
              <c:numCache>
                <c:formatCode>General</c:formatCode>
                <c:ptCount val="15"/>
                <c:pt idx="0">
                  <c:v>2.88</c:v>
                </c:pt>
                <c:pt idx="1">
                  <c:v>3.02</c:v>
                </c:pt>
                <c:pt idx="2">
                  <c:v>3.17</c:v>
                </c:pt>
                <c:pt idx="3">
                  <c:v>3.24</c:v>
                </c:pt>
                <c:pt idx="4">
                  <c:v>3.33</c:v>
                </c:pt>
                <c:pt idx="5">
                  <c:v>3.39</c:v>
                </c:pt>
                <c:pt idx="6">
                  <c:v>4.24</c:v>
                </c:pt>
                <c:pt idx="7">
                  <c:v>5.07</c:v>
                </c:pt>
                <c:pt idx="8">
                  <c:v>6.19</c:v>
                </c:pt>
                <c:pt idx="9">
                  <c:v>5.91</c:v>
                </c:pt>
                <c:pt idx="10">
                  <c:v>5.75</c:v>
                </c:pt>
                <c:pt idx="11">
                  <c:v>8.76</c:v>
                </c:pt>
                <c:pt idx="12">
                  <c:v>12.2</c:v>
                </c:pt>
                <c:pt idx="13">
                  <c:v>11.78</c:v>
                </c:pt>
                <c:pt idx="14">
                  <c:v>9.4700000000000006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CALC!$D$27:$D$28</c:f>
              <c:strCache>
                <c:ptCount val="1"/>
                <c:pt idx="0">
                  <c:v>Applied Materials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CALC!$D$29:$D$44</c:f>
              <c:numCache>
                <c:formatCode>General</c:formatCode>
                <c:ptCount val="15"/>
                <c:pt idx="0">
                  <c:v>9.39</c:v>
                </c:pt>
                <c:pt idx="1">
                  <c:v>9.56</c:v>
                </c:pt>
                <c:pt idx="2">
                  <c:v>9.32</c:v>
                </c:pt>
                <c:pt idx="3">
                  <c:v>9.1199999999999992</c:v>
                </c:pt>
                <c:pt idx="4">
                  <c:v>8.91</c:v>
                </c:pt>
                <c:pt idx="5">
                  <c:v>9.41</c:v>
                </c:pt>
                <c:pt idx="6">
                  <c:v>12.27</c:v>
                </c:pt>
                <c:pt idx="7">
                  <c:v>14.44</c:v>
                </c:pt>
                <c:pt idx="8">
                  <c:v>16.14</c:v>
                </c:pt>
                <c:pt idx="9">
                  <c:v>16.57</c:v>
                </c:pt>
                <c:pt idx="10">
                  <c:v>17.03</c:v>
                </c:pt>
                <c:pt idx="11">
                  <c:v>22.72</c:v>
                </c:pt>
                <c:pt idx="12">
                  <c:v>27.32</c:v>
                </c:pt>
                <c:pt idx="13">
                  <c:v>27.93</c:v>
                </c:pt>
                <c:pt idx="14">
                  <c:v>27.31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CALC!$E$27:$E$28</c:f>
              <c:strCache>
                <c:ptCount val="1"/>
                <c:pt idx="0">
                  <c:v>ASML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CALC!$E$29:$E$44</c:f>
              <c:numCache>
                <c:formatCode>General</c:formatCode>
                <c:ptCount val="15"/>
                <c:pt idx="0">
                  <c:v>6.65</c:v>
                </c:pt>
                <c:pt idx="1">
                  <c:v>6.44</c:v>
                </c:pt>
                <c:pt idx="2">
                  <c:v>6.59</c:v>
                </c:pt>
                <c:pt idx="3">
                  <c:v>6.51</c:v>
                </c:pt>
                <c:pt idx="4">
                  <c:v>6.71</c:v>
                </c:pt>
                <c:pt idx="5">
                  <c:v>7.11</c:v>
                </c:pt>
                <c:pt idx="6">
                  <c:v>8.2100000000000009</c:v>
                </c:pt>
                <c:pt idx="7">
                  <c:v>10.65</c:v>
                </c:pt>
                <c:pt idx="8">
                  <c:v>12.38</c:v>
                </c:pt>
                <c:pt idx="9">
                  <c:v>13.65</c:v>
                </c:pt>
                <c:pt idx="10">
                  <c:v>16.170000000000002</c:v>
                </c:pt>
                <c:pt idx="11">
                  <c:v>20.79</c:v>
                </c:pt>
                <c:pt idx="12">
                  <c:v>23.9</c:v>
                </c:pt>
                <c:pt idx="13">
                  <c:v>30.31</c:v>
                </c:pt>
                <c:pt idx="14">
                  <c:v>31.81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CALC!$F$27:$F$28</c:f>
              <c:strCache>
                <c:ptCount val="1"/>
                <c:pt idx="0">
                  <c:v>Broadcom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CALC!$F$29:$F$44</c:f>
              <c:numCache>
                <c:formatCode>General</c:formatCode>
                <c:ptCount val="15"/>
                <c:pt idx="0">
                  <c:v>2.99</c:v>
                </c:pt>
                <c:pt idx="1">
                  <c:v>3.94</c:v>
                </c:pt>
                <c:pt idx="2">
                  <c:v>4.42</c:v>
                </c:pt>
                <c:pt idx="3">
                  <c:v>5.47</c:v>
                </c:pt>
                <c:pt idx="4">
                  <c:v>6.13</c:v>
                </c:pt>
                <c:pt idx="5">
                  <c:v>6.99</c:v>
                </c:pt>
                <c:pt idx="6">
                  <c:v>11.09</c:v>
                </c:pt>
                <c:pt idx="7">
                  <c:v>16.260000000000002</c:v>
                </c:pt>
                <c:pt idx="8">
                  <c:v>20.62</c:v>
                </c:pt>
                <c:pt idx="9">
                  <c:v>22.18</c:v>
                </c:pt>
                <c:pt idx="10">
                  <c:v>24.98</c:v>
                </c:pt>
                <c:pt idx="11">
                  <c:v>28.35</c:v>
                </c:pt>
                <c:pt idx="12">
                  <c:v>33.5</c:v>
                </c:pt>
                <c:pt idx="13">
                  <c:v>33.96</c:v>
                </c:pt>
                <c:pt idx="14">
                  <c:v>54.34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CALC!$G$27:$G$28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CALC!$G$29:$G$44</c:f>
              <c:numCache>
                <c:formatCode>General</c:formatCode>
                <c:ptCount val="15"/>
                <c:pt idx="0">
                  <c:v>0.95</c:v>
                </c:pt>
                <c:pt idx="1">
                  <c:v>1.1100000000000001</c:v>
                </c:pt>
                <c:pt idx="2">
                  <c:v>1.17</c:v>
                </c:pt>
                <c:pt idx="3">
                  <c:v>1.31</c:v>
                </c:pt>
                <c:pt idx="4">
                  <c:v>1.55</c:v>
                </c:pt>
                <c:pt idx="5">
                  <c:v>1.76</c:v>
                </c:pt>
                <c:pt idx="6">
                  <c:v>1.81</c:v>
                </c:pt>
                <c:pt idx="7">
                  <c:v>1.94</c:v>
                </c:pt>
                <c:pt idx="8">
                  <c:v>2.16</c:v>
                </c:pt>
                <c:pt idx="9">
                  <c:v>2.46</c:v>
                </c:pt>
                <c:pt idx="10">
                  <c:v>2.62</c:v>
                </c:pt>
                <c:pt idx="11">
                  <c:v>3.22</c:v>
                </c:pt>
                <c:pt idx="12">
                  <c:v>3.52</c:v>
                </c:pt>
                <c:pt idx="13">
                  <c:v>4.03</c:v>
                </c:pt>
                <c:pt idx="14">
                  <c:v>4.47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CALC!$H$27:$H$28</c:f>
              <c:strCache>
                <c:ptCount val="1"/>
                <c:pt idx="0">
                  <c:v>Cerebras Systems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CALC!$H$29:$H$44</c:f>
              <c:numCache>
                <c:formatCode>General</c:formatCode>
                <c:ptCount val="15"/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0.22</c:v>
                </c:pt>
                <c:pt idx="13">
                  <c:v>0.3</c:v>
                </c:pt>
                <c:pt idx="14">
                  <c:v>0.77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CALC!$I$27:$I$28</c:f>
              <c:strCache>
                <c:ptCount val="1"/>
                <c:pt idx="0">
                  <c:v>ChangXin Memory (CXMT)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CALC!$I$29:$I$44</c:f>
              <c:numCache>
                <c:formatCode>General</c:formatCode>
                <c:ptCount val="15"/>
                <c:pt idx="8">
                  <c:v>0.31</c:v>
                </c:pt>
                <c:pt idx="9">
                  <c:v>0.94</c:v>
                </c:pt>
                <c:pt idx="10">
                  <c:v>1.45</c:v>
                </c:pt>
                <c:pt idx="11">
                  <c:v>2.2599999999999998</c:v>
                </c:pt>
                <c:pt idx="12">
                  <c:v>3.1</c:v>
                </c:pt>
                <c:pt idx="13">
                  <c:v>4.04</c:v>
                </c:pt>
                <c:pt idx="14">
                  <c:v>5.07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CALC!$J$27:$J$28</c:f>
              <c:strCache>
                <c:ptCount val="1"/>
                <c:pt idx="0">
                  <c:v>GlobalFoundries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CALC!$J$29:$J$44</c:f>
              <c:numCache>
                <c:formatCode>General</c:formatCode>
                <c:ptCount val="15"/>
                <c:pt idx="0">
                  <c:v>3.59</c:v>
                </c:pt>
                <c:pt idx="1">
                  <c:v>3.66</c:v>
                </c:pt>
                <c:pt idx="2">
                  <c:v>3.99</c:v>
                </c:pt>
                <c:pt idx="3">
                  <c:v>4.42</c:v>
                </c:pt>
                <c:pt idx="4">
                  <c:v>4.6399999999999997</c:v>
                </c:pt>
                <c:pt idx="5">
                  <c:v>5.09</c:v>
                </c:pt>
                <c:pt idx="6">
                  <c:v>5.47</c:v>
                </c:pt>
                <c:pt idx="7">
                  <c:v>5.74</c:v>
                </c:pt>
                <c:pt idx="8">
                  <c:v>5.98</c:v>
                </c:pt>
                <c:pt idx="9">
                  <c:v>5.47</c:v>
                </c:pt>
                <c:pt idx="10">
                  <c:v>4.97</c:v>
                </c:pt>
                <c:pt idx="11">
                  <c:v>6.63</c:v>
                </c:pt>
                <c:pt idx="12">
                  <c:v>8</c:v>
                </c:pt>
                <c:pt idx="13">
                  <c:v>7.03</c:v>
                </c:pt>
                <c:pt idx="14">
                  <c:v>6.54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CALC!$K$27:$K$28</c:f>
              <c:strCache>
                <c:ptCount val="1"/>
                <c:pt idx="0">
                  <c:v>Graphcore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CALC!$K$29:$K$44</c:f>
              <c:numCache>
                <c:formatCode>General</c:formatCode>
                <c:ptCount val="15"/>
                <c:pt idx="9">
                  <c:v>0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CALC!$L$27:$L$28</c:f>
              <c:strCache>
                <c:ptCount val="1"/>
                <c:pt idx="0">
                  <c:v>Groq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CALC!$L$29:$L$44</c:f>
              <c:numCache>
                <c:formatCode>General</c:formatCode>
                <c:ptCount val="15"/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0.04</c:v>
                </c:pt>
                <c:pt idx="14">
                  <c:v>0.48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CALC!$M$27:$M$28</c:f>
              <c:strCache>
                <c:ptCount val="1"/>
                <c:pt idx="0">
                  <c:v>HiSilicon (Huawei)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CALC!$M$29:$M$44</c:f>
              <c:numCache>
                <c:formatCode>General</c:formatCode>
                <c:ptCount val="15"/>
                <c:pt idx="0">
                  <c:v>0.96</c:v>
                </c:pt>
                <c:pt idx="1">
                  <c:v>1.61</c:v>
                </c:pt>
                <c:pt idx="2">
                  <c:v>2.21</c:v>
                </c:pt>
                <c:pt idx="3">
                  <c:v>2.79</c:v>
                </c:pt>
                <c:pt idx="4">
                  <c:v>3.35</c:v>
                </c:pt>
                <c:pt idx="5">
                  <c:v>3.92</c:v>
                </c:pt>
                <c:pt idx="6">
                  <c:v>5</c:v>
                </c:pt>
                <c:pt idx="7">
                  <c:v>6.61</c:v>
                </c:pt>
                <c:pt idx="8">
                  <c:v>7.46</c:v>
                </c:pt>
                <c:pt idx="9">
                  <c:v>9.19</c:v>
                </c:pt>
                <c:pt idx="10">
                  <c:v>10.7</c:v>
                </c:pt>
                <c:pt idx="11">
                  <c:v>6.76</c:v>
                </c:pt>
                <c:pt idx="12">
                  <c:v>1.97</c:v>
                </c:pt>
                <c:pt idx="13">
                  <c:v>4.03</c:v>
                </c:pt>
                <c:pt idx="14">
                  <c:v>9.1199999999999992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CALC!$N$27:$N$28</c:f>
              <c:strCache>
                <c:ptCount val="1"/>
                <c:pt idx="0">
                  <c:v>Hua Hong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CALC!$N$29:$N$44</c:f>
              <c:numCache>
                <c:formatCode>General</c:formatCode>
                <c:ptCount val="15"/>
                <c:pt idx="0">
                  <c:v>0.63</c:v>
                </c:pt>
                <c:pt idx="1">
                  <c:v>0.62</c:v>
                </c:pt>
                <c:pt idx="2">
                  <c:v>0.62</c:v>
                </c:pt>
                <c:pt idx="3">
                  <c:v>0.65</c:v>
                </c:pt>
                <c:pt idx="4">
                  <c:v>0.68</c:v>
                </c:pt>
                <c:pt idx="5">
                  <c:v>0.7</c:v>
                </c:pt>
                <c:pt idx="6">
                  <c:v>0.76</c:v>
                </c:pt>
                <c:pt idx="7">
                  <c:v>0.88</c:v>
                </c:pt>
                <c:pt idx="8">
                  <c:v>0.85</c:v>
                </c:pt>
                <c:pt idx="9">
                  <c:v>0.93</c:v>
                </c:pt>
                <c:pt idx="10">
                  <c:v>0.97</c:v>
                </c:pt>
                <c:pt idx="11">
                  <c:v>1.78</c:v>
                </c:pt>
                <c:pt idx="12">
                  <c:v>2.5099999999999998</c:v>
                </c:pt>
                <c:pt idx="13">
                  <c:v>2.3199999999999998</c:v>
                </c:pt>
                <c:pt idx="14">
                  <c:v>1.94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CALC!$O$27:$O$28</c:f>
              <c:strCache>
                <c:ptCount val="1"/>
                <c:pt idx="0">
                  <c:v>Infineon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CALC!$O$29:$O$44</c:f>
              <c:numCache>
                <c:formatCode>General</c:formatCode>
                <c:ptCount val="15"/>
                <c:pt idx="0">
                  <c:v>4.57</c:v>
                </c:pt>
                <c:pt idx="1">
                  <c:v>4.54</c:v>
                </c:pt>
                <c:pt idx="2">
                  <c:v>5.1100000000000003</c:v>
                </c:pt>
                <c:pt idx="3">
                  <c:v>5.56</c:v>
                </c:pt>
                <c:pt idx="4">
                  <c:v>5.52</c:v>
                </c:pt>
                <c:pt idx="5">
                  <c:v>6.04</c:v>
                </c:pt>
                <c:pt idx="6">
                  <c:v>6.56</c:v>
                </c:pt>
                <c:pt idx="7">
                  <c:v>8.0299999999999994</c:v>
                </c:pt>
                <c:pt idx="8">
                  <c:v>8.08</c:v>
                </c:pt>
                <c:pt idx="9">
                  <c:v>8.57</c:v>
                </c:pt>
                <c:pt idx="10">
                  <c:v>9.07</c:v>
                </c:pt>
                <c:pt idx="11">
                  <c:v>11.78</c:v>
                </c:pt>
                <c:pt idx="12">
                  <c:v>14.75</c:v>
                </c:pt>
                <c:pt idx="13">
                  <c:v>16.68</c:v>
                </c:pt>
                <c:pt idx="14">
                  <c:v>15.35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CALC!$P$27:$P$28</c:f>
              <c:strCache>
                <c:ptCount val="1"/>
                <c:pt idx="0">
                  <c:v>Intel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CALC!$P$29:$P$44</c:f>
              <c:numCache>
                <c:formatCode>General</c:formatCode>
                <c:ptCount val="15"/>
                <c:pt idx="0">
                  <c:v>44.33</c:v>
                </c:pt>
                <c:pt idx="1">
                  <c:v>45.66</c:v>
                </c:pt>
                <c:pt idx="2">
                  <c:v>50.66</c:v>
                </c:pt>
                <c:pt idx="3">
                  <c:v>50.78</c:v>
                </c:pt>
                <c:pt idx="4">
                  <c:v>50.47</c:v>
                </c:pt>
                <c:pt idx="5">
                  <c:v>52.71</c:v>
                </c:pt>
                <c:pt idx="6">
                  <c:v>61.27</c:v>
                </c:pt>
                <c:pt idx="7">
                  <c:v>66.180000000000007</c:v>
                </c:pt>
                <c:pt idx="8">
                  <c:v>66.06</c:v>
                </c:pt>
                <c:pt idx="9">
                  <c:v>73.31</c:v>
                </c:pt>
                <c:pt idx="10">
                  <c:v>79.56</c:v>
                </c:pt>
                <c:pt idx="11">
                  <c:v>72.13</c:v>
                </c:pt>
                <c:pt idx="12">
                  <c:v>64.11</c:v>
                </c:pt>
                <c:pt idx="13">
                  <c:v>53.91</c:v>
                </c:pt>
                <c:pt idx="14">
                  <c:v>54.42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CALC!$Q$27:$Q$28</c:f>
              <c:strCache>
                <c:ptCount val="1"/>
                <c:pt idx="0">
                  <c:v>KLA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CALC!$Q$29:$Q$44</c:f>
              <c:numCache>
                <c:formatCode>General</c:formatCode>
                <c:ptCount val="15"/>
                <c:pt idx="0">
                  <c:v>1.74</c:v>
                </c:pt>
                <c:pt idx="1">
                  <c:v>2.08</c:v>
                </c:pt>
                <c:pt idx="2">
                  <c:v>2.04</c:v>
                </c:pt>
                <c:pt idx="3">
                  <c:v>2.34</c:v>
                </c:pt>
                <c:pt idx="4">
                  <c:v>2.57</c:v>
                </c:pt>
                <c:pt idx="5">
                  <c:v>2.77</c:v>
                </c:pt>
                <c:pt idx="6">
                  <c:v>3.14</c:v>
                </c:pt>
                <c:pt idx="7">
                  <c:v>3.65</c:v>
                </c:pt>
                <c:pt idx="8">
                  <c:v>4.05</c:v>
                </c:pt>
                <c:pt idx="9">
                  <c:v>4.88</c:v>
                </c:pt>
                <c:pt idx="10">
                  <c:v>5.69</c:v>
                </c:pt>
                <c:pt idx="11">
                  <c:v>7.45</c:v>
                </c:pt>
                <c:pt idx="12">
                  <c:v>9.2200000000000006</c:v>
                </c:pt>
                <c:pt idx="13">
                  <c:v>10.27</c:v>
                </c:pt>
                <c:pt idx="14">
                  <c:v>9.9600000000000009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CALC!$R$27:$R$28</c:f>
              <c:strCache>
                <c:ptCount val="1"/>
                <c:pt idx="0">
                  <c:v>Lam Research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CALC!$R$29:$R$44</c:f>
              <c:numCache>
                <c:formatCode>General</c:formatCode>
                <c:ptCount val="15"/>
                <c:pt idx="0">
                  <c:v>2.57</c:v>
                </c:pt>
                <c:pt idx="1">
                  <c:v>3.23</c:v>
                </c:pt>
                <c:pt idx="2">
                  <c:v>3.71</c:v>
                </c:pt>
                <c:pt idx="3">
                  <c:v>4.26</c:v>
                </c:pt>
                <c:pt idx="4">
                  <c:v>4.49</c:v>
                </c:pt>
                <c:pt idx="5">
                  <c:v>5.15</c:v>
                </c:pt>
                <c:pt idx="6">
                  <c:v>7.22</c:v>
                </c:pt>
                <c:pt idx="7">
                  <c:v>8.98</c:v>
                </c:pt>
                <c:pt idx="8">
                  <c:v>10.66</c:v>
                </c:pt>
                <c:pt idx="9">
                  <c:v>10.37</c:v>
                </c:pt>
                <c:pt idx="10">
                  <c:v>10.08</c:v>
                </c:pt>
                <c:pt idx="11">
                  <c:v>13.9</c:v>
                </c:pt>
                <c:pt idx="12">
                  <c:v>16.25</c:v>
                </c:pt>
                <c:pt idx="13">
                  <c:v>17.39</c:v>
                </c:pt>
                <c:pt idx="14">
                  <c:v>14.85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CALC!$S$27:$S$28</c:f>
              <c:strCache>
                <c:ptCount val="1"/>
                <c:pt idx="0">
                  <c:v>Marvell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CALC!$S$29:$S$44</c:f>
              <c:numCache>
                <c:formatCode>General</c:formatCode>
                <c:ptCount val="15"/>
                <c:pt idx="0">
                  <c:v>3.36</c:v>
                </c:pt>
                <c:pt idx="1">
                  <c:v>3.43</c:v>
                </c:pt>
                <c:pt idx="2">
                  <c:v>3.4</c:v>
                </c:pt>
                <c:pt idx="3">
                  <c:v>3.01</c:v>
                </c:pt>
                <c:pt idx="4">
                  <c:v>2.75</c:v>
                </c:pt>
                <c:pt idx="5">
                  <c:v>2.73</c:v>
                </c:pt>
                <c:pt idx="6">
                  <c:v>2.56</c:v>
                </c:pt>
                <c:pt idx="7">
                  <c:v>2.58</c:v>
                </c:pt>
                <c:pt idx="8">
                  <c:v>2.42</c:v>
                </c:pt>
                <c:pt idx="9">
                  <c:v>2.63</c:v>
                </c:pt>
                <c:pt idx="10">
                  <c:v>2.99</c:v>
                </c:pt>
                <c:pt idx="11">
                  <c:v>4.59</c:v>
                </c:pt>
                <c:pt idx="12">
                  <c:v>5.88</c:v>
                </c:pt>
                <c:pt idx="13">
                  <c:v>5.38</c:v>
                </c:pt>
                <c:pt idx="14">
                  <c:v>5.84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CALC!$T$27:$T$28</c:f>
              <c:strCache>
                <c:ptCount val="1"/>
                <c:pt idx="0">
                  <c:v>MediaTek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CALC!$T$29:$T$44</c:f>
              <c:numCache>
                <c:formatCode>General</c:formatCode>
                <c:ptCount val="15"/>
                <c:pt idx="0">
                  <c:v>3.56</c:v>
                </c:pt>
                <c:pt idx="1">
                  <c:v>4.2300000000000004</c:v>
                </c:pt>
                <c:pt idx="2">
                  <c:v>4.8899999999999997</c:v>
                </c:pt>
                <c:pt idx="3">
                  <c:v>5.56</c:v>
                </c:pt>
                <c:pt idx="4">
                  <c:v>5.99</c:v>
                </c:pt>
                <c:pt idx="5">
                  <c:v>6.41</c:v>
                </c:pt>
                <c:pt idx="6">
                  <c:v>7</c:v>
                </c:pt>
                <c:pt idx="7">
                  <c:v>7.37</c:v>
                </c:pt>
                <c:pt idx="8">
                  <c:v>7.87</c:v>
                </c:pt>
                <c:pt idx="9">
                  <c:v>9.77</c:v>
                </c:pt>
                <c:pt idx="10">
                  <c:v>10.4</c:v>
                </c:pt>
                <c:pt idx="11">
                  <c:v>14.24</c:v>
                </c:pt>
                <c:pt idx="12">
                  <c:v>19.46</c:v>
                </c:pt>
                <c:pt idx="13">
                  <c:v>13.32</c:v>
                </c:pt>
                <c:pt idx="14">
                  <c:v>17.02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CALC!$U$27:$U$28</c:f>
              <c:strCache>
                <c:ptCount val="1"/>
                <c:pt idx="0">
                  <c:v>Microchip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CALC!$U$29:$U$44</c:f>
              <c:numCache>
                <c:formatCode>General</c:formatCode>
                <c:ptCount val="15"/>
                <c:pt idx="0">
                  <c:v>1.49</c:v>
                </c:pt>
                <c:pt idx="1">
                  <c:v>1.56</c:v>
                </c:pt>
                <c:pt idx="2">
                  <c:v>1.76</c:v>
                </c:pt>
                <c:pt idx="3">
                  <c:v>1.91</c:v>
                </c:pt>
                <c:pt idx="4">
                  <c:v>1.92</c:v>
                </c:pt>
                <c:pt idx="5">
                  <c:v>2.14</c:v>
                </c:pt>
                <c:pt idx="6">
                  <c:v>2.82</c:v>
                </c:pt>
                <c:pt idx="7">
                  <c:v>3.29</c:v>
                </c:pt>
                <c:pt idx="8">
                  <c:v>4.05</c:v>
                </c:pt>
                <c:pt idx="9">
                  <c:v>4.7300000000000004</c:v>
                </c:pt>
                <c:pt idx="10">
                  <c:v>5.34</c:v>
                </c:pt>
                <c:pt idx="11">
                  <c:v>7.01</c:v>
                </c:pt>
                <c:pt idx="12">
                  <c:v>8</c:v>
                </c:pt>
                <c:pt idx="13">
                  <c:v>7.83</c:v>
                </c:pt>
                <c:pt idx="14">
                  <c:v>4.2699999999999996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CALC!$V$27:$V$28</c:f>
              <c:strCache>
                <c:ptCount val="1"/>
                <c:pt idx="0">
                  <c:v>Micron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CALC!$V$29:$V$44</c:f>
              <c:numCache>
                <c:formatCode>General</c:formatCode>
                <c:ptCount val="15"/>
                <c:pt idx="0">
                  <c:v>8.7799999999999994</c:v>
                </c:pt>
                <c:pt idx="1">
                  <c:v>10.039999999999999</c:v>
                </c:pt>
                <c:pt idx="2">
                  <c:v>11.66</c:v>
                </c:pt>
                <c:pt idx="3">
                  <c:v>13.16</c:v>
                </c:pt>
                <c:pt idx="4">
                  <c:v>14.64</c:v>
                </c:pt>
                <c:pt idx="5">
                  <c:v>15.83</c:v>
                </c:pt>
                <c:pt idx="6">
                  <c:v>20.41</c:v>
                </c:pt>
                <c:pt idx="7">
                  <c:v>26.52</c:v>
                </c:pt>
                <c:pt idx="8">
                  <c:v>30.14</c:v>
                </c:pt>
                <c:pt idx="9">
                  <c:v>25.66</c:v>
                </c:pt>
                <c:pt idx="10">
                  <c:v>20.260000000000002</c:v>
                </c:pt>
                <c:pt idx="11">
                  <c:v>24.59</c:v>
                </c:pt>
                <c:pt idx="12">
                  <c:v>32.090000000000003</c:v>
                </c:pt>
                <c:pt idx="13">
                  <c:v>15.17</c:v>
                </c:pt>
                <c:pt idx="14">
                  <c:v>22.96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CALC!$W$27:$W$28</c:f>
              <c:strCache>
                <c:ptCount val="1"/>
                <c:pt idx="0">
                  <c:v>NVIDIA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CALC!$W$29:$W$44</c:f>
              <c:numCache>
                <c:formatCode>General</c:formatCode>
                <c:ptCount val="15"/>
                <c:pt idx="0">
                  <c:v>3.43</c:v>
                </c:pt>
                <c:pt idx="1">
                  <c:v>3.75</c:v>
                </c:pt>
                <c:pt idx="2">
                  <c:v>3.95</c:v>
                </c:pt>
                <c:pt idx="3">
                  <c:v>4.6100000000000003</c:v>
                </c:pt>
                <c:pt idx="4">
                  <c:v>4.68</c:v>
                </c:pt>
                <c:pt idx="5">
                  <c:v>5.2</c:v>
                </c:pt>
                <c:pt idx="6">
                  <c:v>6.49</c:v>
                </c:pt>
                <c:pt idx="7">
                  <c:v>8.24</c:v>
                </c:pt>
                <c:pt idx="8">
                  <c:v>9.75</c:v>
                </c:pt>
                <c:pt idx="9">
                  <c:v>12.67</c:v>
                </c:pt>
                <c:pt idx="10">
                  <c:v>17.59</c:v>
                </c:pt>
                <c:pt idx="11">
                  <c:v>21.6</c:v>
                </c:pt>
                <c:pt idx="12">
                  <c:v>26.12</c:v>
                </c:pt>
                <c:pt idx="13">
                  <c:v>62.09</c:v>
                </c:pt>
                <c:pt idx="14">
                  <c:v>130.47999999999999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CALC!$X$27:$X$28</c:f>
              <c:strCache>
                <c:ptCount val="1"/>
                <c:pt idx="0">
                  <c:v>NXP Semiconductors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CALC!$X$29:$X$44</c:f>
              <c:numCache>
                <c:formatCode>General</c:formatCode>
                <c:ptCount val="15"/>
                <c:pt idx="0">
                  <c:v>4.4800000000000004</c:v>
                </c:pt>
                <c:pt idx="1">
                  <c:v>4.76</c:v>
                </c:pt>
                <c:pt idx="2">
                  <c:v>5.37</c:v>
                </c:pt>
                <c:pt idx="3">
                  <c:v>5.7</c:v>
                </c:pt>
                <c:pt idx="4">
                  <c:v>5.86</c:v>
                </c:pt>
                <c:pt idx="5">
                  <c:v>5.94</c:v>
                </c:pt>
                <c:pt idx="6">
                  <c:v>7.47</c:v>
                </c:pt>
                <c:pt idx="7">
                  <c:v>7.89</c:v>
                </c:pt>
                <c:pt idx="8">
                  <c:v>9.15</c:v>
                </c:pt>
                <c:pt idx="9">
                  <c:v>8.98</c:v>
                </c:pt>
                <c:pt idx="10">
                  <c:v>8.19</c:v>
                </c:pt>
                <c:pt idx="11">
                  <c:v>10.73</c:v>
                </c:pt>
                <c:pt idx="12">
                  <c:v>13.51</c:v>
                </c:pt>
                <c:pt idx="13">
                  <c:v>13.02</c:v>
                </c:pt>
                <c:pt idx="14">
                  <c:v>12.92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CALC!$Y$27:$Y$28</c:f>
              <c:strCache>
                <c:ptCount val="1"/>
                <c:pt idx="0">
                  <c:v>Onsemi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CALC!$Y$29:$Y$44</c:f>
              <c:numCache>
                <c:formatCode>General</c:formatCode>
                <c:ptCount val="15"/>
                <c:pt idx="0">
                  <c:v>2.27</c:v>
                </c:pt>
                <c:pt idx="1">
                  <c:v>2.54</c:v>
                </c:pt>
                <c:pt idx="2">
                  <c:v>2.7</c:v>
                </c:pt>
                <c:pt idx="3">
                  <c:v>3.19</c:v>
                </c:pt>
                <c:pt idx="4">
                  <c:v>3.17</c:v>
                </c:pt>
                <c:pt idx="5">
                  <c:v>3.57</c:v>
                </c:pt>
                <c:pt idx="6">
                  <c:v>4.46</c:v>
                </c:pt>
                <c:pt idx="7">
                  <c:v>5.21</c:v>
                </c:pt>
                <c:pt idx="8">
                  <c:v>5.96</c:v>
                </c:pt>
                <c:pt idx="9">
                  <c:v>5.61</c:v>
                </c:pt>
                <c:pt idx="10">
                  <c:v>5.0999999999999996</c:v>
                </c:pt>
                <c:pt idx="11">
                  <c:v>7.16</c:v>
                </c:pt>
                <c:pt idx="12">
                  <c:v>8.36</c:v>
                </c:pt>
                <c:pt idx="13">
                  <c:v>8.3000000000000007</c:v>
                </c:pt>
                <c:pt idx="14">
                  <c:v>6.87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CALC!$Z$27:$Z$28</c:f>
              <c:strCache>
                <c:ptCount val="1"/>
                <c:pt idx="0">
                  <c:v>Qualcomm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CALC!$Z$29:$Z$44</c:f>
              <c:numCache>
                <c:formatCode>General</c:formatCode>
                <c:ptCount val="15"/>
                <c:pt idx="0">
                  <c:v>10.65</c:v>
                </c:pt>
                <c:pt idx="1">
                  <c:v>13.44</c:v>
                </c:pt>
                <c:pt idx="2">
                  <c:v>15.75</c:v>
                </c:pt>
                <c:pt idx="3">
                  <c:v>20.68</c:v>
                </c:pt>
                <c:pt idx="4">
                  <c:v>21.48</c:v>
                </c:pt>
                <c:pt idx="5">
                  <c:v>27.28</c:v>
                </c:pt>
                <c:pt idx="6">
                  <c:v>23.97</c:v>
                </c:pt>
                <c:pt idx="7">
                  <c:v>24.72</c:v>
                </c:pt>
                <c:pt idx="8">
                  <c:v>22.53</c:v>
                </c:pt>
                <c:pt idx="9">
                  <c:v>23.4</c:v>
                </c:pt>
                <c:pt idx="10">
                  <c:v>23.41</c:v>
                </c:pt>
                <c:pt idx="11">
                  <c:v>33.61</c:v>
                </c:pt>
                <c:pt idx="12">
                  <c:v>44.51</c:v>
                </c:pt>
                <c:pt idx="13">
                  <c:v>36.31</c:v>
                </c:pt>
                <c:pt idx="14">
                  <c:v>39.18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CALC!$AA$27:$AA$28</c:f>
              <c:strCache>
                <c:ptCount val="1"/>
                <c:pt idx="0">
                  <c:v>Renesas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CALC!$AA$29:$AA$44</c:f>
              <c:numCache>
                <c:formatCode>General</c:formatCode>
                <c:ptCount val="15"/>
                <c:pt idx="0">
                  <c:v>12.3</c:v>
                </c:pt>
                <c:pt idx="1">
                  <c:v>11.42</c:v>
                </c:pt>
                <c:pt idx="2">
                  <c:v>9.8699999999999992</c:v>
                </c:pt>
                <c:pt idx="3">
                  <c:v>9.2200000000000006</c:v>
                </c:pt>
                <c:pt idx="4">
                  <c:v>7.89</c:v>
                </c:pt>
                <c:pt idx="5">
                  <c:v>7.07</c:v>
                </c:pt>
                <c:pt idx="6">
                  <c:v>7.2</c:v>
                </c:pt>
                <c:pt idx="7">
                  <c:v>6.83</c:v>
                </c:pt>
                <c:pt idx="8">
                  <c:v>6.53</c:v>
                </c:pt>
                <c:pt idx="9">
                  <c:v>6.62</c:v>
                </c:pt>
                <c:pt idx="10">
                  <c:v>6.82</c:v>
                </c:pt>
                <c:pt idx="11">
                  <c:v>8.5299999999999994</c:v>
                </c:pt>
                <c:pt idx="12">
                  <c:v>11.35</c:v>
                </c:pt>
                <c:pt idx="13">
                  <c:v>10.31</c:v>
                </c:pt>
                <c:pt idx="14">
                  <c:v>9.34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CALC!$AB$27:$AB$28</c:f>
              <c:strCache>
                <c:ptCount val="1"/>
                <c:pt idx="0">
                  <c:v>SambaNova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CALC!$AB$29:$AB$44</c:f>
              <c:numCache>
                <c:formatCode>General</c:formatCode>
                <c:ptCount val="15"/>
                <c:pt idx="10">
                  <c:v>0</c:v>
                </c:pt>
                <c:pt idx="11">
                  <c:v>0.02</c:v>
                </c:pt>
                <c:pt idx="12">
                  <c:v>0.05</c:v>
                </c:pt>
                <c:pt idx="13">
                  <c:v>0.1</c:v>
                </c:pt>
                <c:pt idx="14">
                  <c:v>0.37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CALC!$AC$27:$AC$28</c:f>
              <c:strCache>
                <c:ptCount val="1"/>
                <c:pt idx="0">
                  <c:v>Samsung Foundry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CALC!$AC$29:$AC$44</c:f>
              <c:numCache>
                <c:formatCode>General</c:formatCode>
                <c:ptCount val="15"/>
                <c:pt idx="0">
                  <c:v>3.06</c:v>
                </c:pt>
                <c:pt idx="1">
                  <c:v>3.69</c:v>
                </c:pt>
                <c:pt idx="2">
                  <c:v>4.29</c:v>
                </c:pt>
                <c:pt idx="3">
                  <c:v>5.21</c:v>
                </c:pt>
                <c:pt idx="4">
                  <c:v>5.69</c:v>
                </c:pt>
                <c:pt idx="5">
                  <c:v>6.52</c:v>
                </c:pt>
                <c:pt idx="6">
                  <c:v>8.5500000000000007</c:v>
                </c:pt>
                <c:pt idx="7">
                  <c:v>10.38</c:v>
                </c:pt>
                <c:pt idx="8">
                  <c:v>12.1</c:v>
                </c:pt>
                <c:pt idx="9">
                  <c:v>12.78</c:v>
                </c:pt>
                <c:pt idx="10">
                  <c:v>14.49</c:v>
                </c:pt>
                <c:pt idx="11">
                  <c:v>16.46</c:v>
                </c:pt>
                <c:pt idx="12">
                  <c:v>18.03</c:v>
                </c:pt>
                <c:pt idx="13">
                  <c:v>12.36</c:v>
                </c:pt>
                <c:pt idx="14">
                  <c:v>18.09</c:v>
                </c:pt>
              </c:numCache>
            </c:numRef>
          </c:val>
          <c:smooth val="0"/>
        </c:ser>
        <c:ser>
          <c:idx val="28"/>
          <c:order val="28"/>
          <c:tx>
            <c:strRef>
              <c:f>CALC!$AD$27:$AD$28</c:f>
              <c:strCache>
                <c:ptCount val="1"/>
                <c:pt idx="0">
                  <c:v>Samsung Memory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CALC!$AD$29:$AD$44</c:f>
              <c:numCache>
                <c:formatCode>General</c:formatCode>
                <c:ptCount val="15"/>
                <c:pt idx="0">
                  <c:v>31.08</c:v>
                </c:pt>
                <c:pt idx="1">
                  <c:v>32.71</c:v>
                </c:pt>
                <c:pt idx="2">
                  <c:v>34.69</c:v>
                </c:pt>
                <c:pt idx="3">
                  <c:v>36.29</c:v>
                </c:pt>
                <c:pt idx="4">
                  <c:v>39.06</c:v>
                </c:pt>
                <c:pt idx="5">
                  <c:v>38.92</c:v>
                </c:pt>
                <c:pt idx="6">
                  <c:v>52.14</c:v>
                </c:pt>
                <c:pt idx="7">
                  <c:v>63.85</c:v>
                </c:pt>
                <c:pt idx="8">
                  <c:v>75.95</c:v>
                </c:pt>
                <c:pt idx="9">
                  <c:v>74.27</c:v>
                </c:pt>
                <c:pt idx="10">
                  <c:v>64.28</c:v>
                </c:pt>
                <c:pt idx="11">
                  <c:v>69.3</c:v>
                </c:pt>
                <c:pt idx="12">
                  <c:v>75.7</c:v>
                </c:pt>
                <c:pt idx="13">
                  <c:v>50.38</c:v>
                </c:pt>
                <c:pt idx="14">
                  <c:v>74.790000000000006</c:v>
                </c:pt>
              </c:numCache>
            </c:numRef>
          </c:val>
          <c:smooth val="0"/>
        </c:ser>
        <c:ser>
          <c:idx val="29"/>
          <c:order val="29"/>
          <c:tx>
            <c:strRef>
              <c:f>CALC!$AE$27:$AE$28</c:f>
              <c:strCache>
                <c:ptCount val="1"/>
                <c:pt idx="0">
                  <c:v>SCREEN Holdings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CALC!$AE$29:$AE$44</c:f>
              <c:numCache>
                <c:formatCode>General</c:formatCode>
                <c:ptCount val="15"/>
                <c:pt idx="0">
                  <c:v>1.83</c:v>
                </c:pt>
                <c:pt idx="1">
                  <c:v>1.86</c:v>
                </c:pt>
                <c:pt idx="2">
                  <c:v>1.97</c:v>
                </c:pt>
                <c:pt idx="3">
                  <c:v>2.1</c:v>
                </c:pt>
                <c:pt idx="4">
                  <c:v>2.31</c:v>
                </c:pt>
                <c:pt idx="5">
                  <c:v>2.23</c:v>
                </c:pt>
                <c:pt idx="6">
                  <c:v>2.5</c:v>
                </c:pt>
                <c:pt idx="7">
                  <c:v>2.68</c:v>
                </c:pt>
                <c:pt idx="8">
                  <c:v>2.98</c:v>
                </c:pt>
                <c:pt idx="9">
                  <c:v>2.78</c:v>
                </c:pt>
                <c:pt idx="10">
                  <c:v>2.72</c:v>
                </c:pt>
                <c:pt idx="11">
                  <c:v>3.2</c:v>
                </c:pt>
                <c:pt idx="12">
                  <c:v>4.03</c:v>
                </c:pt>
                <c:pt idx="13">
                  <c:v>4.22</c:v>
                </c:pt>
                <c:pt idx="14">
                  <c:v>4.26</c:v>
                </c:pt>
              </c:numCache>
            </c:numRef>
          </c:val>
          <c:smooth val="0"/>
        </c:ser>
        <c:ser>
          <c:idx val="30"/>
          <c:order val="30"/>
          <c:tx>
            <c:strRef>
              <c:f>CALC!$AF$27:$AF$28</c:f>
              <c:strCache>
                <c:ptCount val="1"/>
                <c:pt idx="0">
                  <c:v>SK Hynix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CALC!$AF$29:$AF$44</c:f>
              <c:numCache>
                <c:formatCode>General</c:formatCode>
                <c:ptCount val="15"/>
                <c:pt idx="0">
                  <c:v>10.61</c:v>
                </c:pt>
                <c:pt idx="1">
                  <c:v>11.58</c:v>
                </c:pt>
                <c:pt idx="2">
                  <c:v>13.32</c:v>
                </c:pt>
                <c:pt idx="3">
                  <c:v>14.58</c:v>
                </c:pt>
                <c:pt idx="4">
                  <c:v>15.24</c:v>
                </c:pt>
                <c:pt idx="5">
                  <c:v>17.489999999999998</c:v>
                </c:pt>
                <c:pt idx="6">
                  <c:v>22.88</c:v>
                </c:pt>
                <c:pt idx="7">
                  <c:v>30.12</c:v>
                </c:pt>
                <c:pt idx="8">
                  <c:v>35.86</c:v>
                </c:pt>
                <c:pt idx="9">
                  <c:v>32.299999999999997</c:v>
                </c:pt>
                <c:pt idx="10">
                  <c:v>27.17</c:v>
                </c:pt>
                <c:pt idx="11">
                  <c:v>30.7</c:v>
                </c:pt>
                <c:pt idx="12">
                  <c:v>34.69</c:v>
                </c:pt>
                <c:pt idx="13">
                  <c:v>25.33</c:v>
                </c:pt>
                <c:pt idx="14">
                  <c:v>51.53</c:v>
                </c:pt>
              </c:numCache>
            </c:numRef>
          </c:val>
          <c:smooth val="0"/>
        </c:ser>
        <c:ser>
          <c:idx val="31"/>
          <c:order val="31"/>
          <c:tx>
            <c:strRef>
              <c:f>CALC!$AG$27:$AG$28</c:f>
              <c:strCache>
                <c:ptCount val="1"/>
                <c:pt idx="0">
                  <c:v>SMIC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CALC!$AG$29:$AG$44</c:f>
              <c:numCache>
                <c:formatCode>General</c:formatCode>
                <c:ptCount val="15"/>
                <c:pt idx="0">
                  <c:v>1.62</c:v>
                </c:pt>
                <c:pt idx="1">
                  <c:v>1.83</c:v>
                </c:pt>
                <c:pt idx="2">
                  <c:v>1.86</c:v>
                </c:pt>
                <c:pt idx="3">
                  <c:v>1.84</c:v>
                </c:pt>
                <c:pt idx="4">
                  <c:v>2.0299999999999998</c:v>
                </c:pt>
                <c:pt idx="5">
                  <c:v>2.16</c:v>
                </c:pt>
                <c:pt idx="6">
                  <c:v>2.68</c:v>
                </c:pt>
                <c:pt idx="7">
                  <c:v>2.99</c:v>
                </c:pt>
                <c:pt idx="8">
                  <c:v>3.23</c:v>
                </c:pt>
                <c:pt idx="9">
                  <c:v>3.64</c:v>
                </c:pt>
                <c:pt idx="10">
                  <c:v>3.92</c:v>
                </c:pt>
                <c:pt idx="11">
                  <c:v>5.52</c:v>
                </c:pt>
                <c:pt idx="12">
                  <c:v>7.09</c:v>
                </c:pt>
                <c:pt idx="13">
                  <c:v>6.72</c:v>
                </c:pt>
                <c:pt idx="14">
                  <c:v>8.1999999999999993</c:v>
                </c:pt>
              </c:numCache>
            </c:numRef>
          </c:val>
          <c:smooth val="0"/>
        </c:ser>
        <c:ser>
          <c:idx val="32"/>
          <c:order val="32"/>
          <c:tx>
            <c:strRef>
              <c:f>CALC!$AH$27:$AH$28</c:f>
              <c:strCache>
                <c:ptCount val="1"/>
                <c:pt idx="0">
                  <c:v>STMicroelectronics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CALC!$AH$29:$AH$44</c:f>
              <c:numCache>
                <c:formatCode>General</c:formatCode>
                <c:ptCount val="15"/>
                <c:pt idx="0">
                  <c:v>9.8699999999999992</c:v>
                </c:pt>
                <c:pt idx="1">
                  <c:v>9.41</c:v>
                </c:pt>
                <c:pt idx="2">
                  <c:v>9.17</c:v>
                </c:pt>
                <c:pt idx="3">
                  <c:v>8.17</c:v>
                </c:pt>
                <c:pt idx="4">
                  <c:v>7.56</c:v>
                </c:pt>
                <c:pt idx="5">
                  <c:v>7.06</c:v>
                </c:pt>
                <c:pt idx="6">
                  <c:v>7.98</c:v>
                </c:pt>
                <c:pt idx="7">
                  <c:v>8.6300000000000008</c:v>
                </c:pt>
                <c:pt idx="8">
                  <c:v>9.3000000000000007</c:v>
                </c:pt>
                <c:pt idx="9">
                  <c:v>10.39</c:v>
                </c:pt>
                <c:pt idx="10">
                  <c:v>10.08</c:v>
                </c:pt>
                <c:pt idx="11">
                  <c:v>13.03</c:v>
                </c:pt>
                <c:pt idx="12">
                  <c:v>16.010000000000002</c:v>
                </c:pt>
                <c:pt idx="13">
                  <c:v>17.600000000000001</c:v>
                </c:pt>
                <c:pt idx="14">
                  <c:v>12.72</c:v>
                </c:pt>
              </c:numCache>
            </c:numRef>
          </c:val>
          <c:smooth val="0"/>
        </c:ser>
        <c:ser>
          <c:idx val="33"/>
          <c:order val="33"/>
          <c:tx>
            <c:strRef>
              <c:f>CALC!$AI$27:$AI$28</c:f>
              <c:strCache>
                <c:ptCount val="1"/>
                <c:pt idx="0">
                  <c:v>Synopsys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CALC!$AI$29:$AI$44</c:f>
              <c:numCache>
                <c:formatCode>General</c:formatCode>
                <c:ptCount val="15"/>
                <c:pt idx="0">
                  <c:v>1.34</c:v>
                </c:pt>
                <c:pt idx="1">
                  <c:v>1.55</c:v>
                </c:pt>
                <c:pt idx="2">
                  <c:v>1.77</c:v>
                </c:pt>
                <c:pt idx="3">
                  <c:v>1.98</c:v>
                </c:pt>
                <c:pt idx="4">
                  <c:v>2.0299999999999998</c:v>
                </c:pt>
                <c:pt idx="5">
                  <c:v>2.25</c:v>
                </c:pt>
                <c:pt idx="6">
                  <c:v>2.5099999999999998</c:v>
                </c:pt>
                <c:pt idx="7">
                  <c:v>2.8</c:v>
                </c:pt>
                <c:pt idx="8">
                  <c:v>3.06</c:v>
                </c:pt>
                <c:pt idx="9">
                  <c:v>3.4</c:v>
                </c:pt>
                <c:pt idx="10">
                  <c:v>3.78</c:v>
                </c:pt>
                <c:pt idx="11">
                  <c:v>4.45</c:v>
                </c:pt>
                <c:pt idx="12">
                  <c:v>4.82</c:v>
                </c:pt>
                <c:pt idx="13">
                  <c:v>5.71</c:v>
                </c:pt>
                <c:pt idx="14">
                  <c:v>5.91</c:v>
                </c:pt>
              </c:numCache>
            </c:numRef>
          </c:val>
          <c:smooth val="0"/>
        </c:ser>
        <c:ser>
          <c:idx val="34"/>
          <c:order val="34"/>
          <c:tx>
            <c:strRef>
              <c:f>CALC!$AJ$27:$AJ$28</c:f>
              <c:strCache>
                <c:ptCount val="1"/>
                <c:pt idx="0">
                  <c:v>Tenstorrent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CALC!$AJ$29:$AJ$44</c:f>
              <c:numCache>
                <c:formatCode>General</c:formatCode>
                <c:ptCount val="15"/>
                <c:pt idx="10">
                  <c:v>0</c:v>
                </c:pt>
                <c:pt idx="11">
                  <c:v>0.01</c:v>
                </c:pt>
                <c:pt idx="12">
                  <c:v>0.05</c:v>
                </c:pt>
                <c:pt idx="13">
                  <c:v>0.1</c:v>
                </c:pt>
                <c:pt idx="14">
                  <c:v>0.31</c:v>
                </c:pt>
              </c:numCache>
            </c:numRef>
          </c:val>
          <c:smooth val="0"/>
        </c:ser>
        <c:ser>
          <c:idx val="35"/>
          <c:order val="35"/>
          <c:tx>
            <c:strRef>
              <c:f>CALC!$AK$27:$AK$28</c:f>
              <c:strCache>
                <c:ptCount val="1"/>
                <c:pt idx="0">
                  <c:v>Texas Instruments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CALC!$AK$29:$AK$44</c:f>
              <c:numCache>
                <c:formatCode>General</c:formatCode>
                <c:ptCount val="15"/>
                <c:pt idx="0">
                  <c:v>13.26</c:v>
                </c:pt>
                <c:pt idx="1">
                  <c:v>13.76</c:v>
                </c:pt>
                <c:pt idx="2">
                  <c:v>13.87</c:v>
                </c:pt>
                <c:pt idx="3">
                  <c:v>13.63</c:v>
                </c:pt>
                <c:pt idx="4">
                  <c:v>13.54</c:v>
                </c:pt>
                <c:pt idx="5">
                  <c:v>12.63</c:v>
                </c:pt>
                <c:pt idx="6">
                  <c:v>14.5</c:v>
                </c:pt>
                <c:pt idx="7">
                  <c:v>15.51</c:v>
                </c:pt>
                <c:pt idx="8">
                  <c:v>16.5</c:v>
                </c:pt>
                <c:pt idx="9">
                  <c:v>15.27</c:v>
                </c:pt>
                <c:pt idx="10">
                  <c:v>14.34</c:v>
                </c:pt>
                <c:pt idx="11">
                  <c:v>17.02</c:v>
                </c:pt>
                <c:pt idx="12">
                  <c:v>19.079999999999998</c:v>
                </c:pt>
                <c:pt idx="13">
                  <c:v>17.22</c:v>
                </c:pt>
                <c:pt idx="14">
                  <c:v>14.89</c:v>
                </c:pt>
              </c:numCache>
            </c:numRef>
          </c:val>
          <c:smooth val="0"/>
        </c:ser>
        <c:ser>
          <c:idx val="36"/>
          <c:order val="36"/>
          <c:tx>
            <c:strRef>
              <c:f>CALC!$AL$27:$AL$28</c:f>
              <c:strCache>
                <c:ptCount val="1"/>
                <c:pt idx="0">
                  <c:v>Tokyo Electron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CALC!$AL$29:$AL$44</c:f>
              <c:numCache>
                <c:formatCode>General</c:formatCode>
                <c:ptCount val="15"/>
                <c:pt idx="0">
                  <c:v>6.88</c:v>
                </c:pt>
                <c:pt idx="1">
                  <c:v>6.28</c:v>
                </c:pt>
                <c:pt idx="2">
                  <c:v>6.1</c:v>
                </c:pt>
                <c:pt idx="3">
                  <c:v>5.79</c:v>
                </c:pt>
                <c:pt idx="4">
                  <c:v>5.53</c:v>
                </c:pt>
                <c:pt idx="5">
                  <c:v>5.26</c:v>
                </c:pt>
                <c:pt idx="6">
                  <c:v>7.3</c:v>
                </c:pt>
                <c:pt idx="7">
                  <c:v>9.6300000000000008</c:v>
                </c:pt>
                <c:pt idx="8">
                  <c:v>11.41</c:v>
                </c:pt>
                <c:pt idx="9">
                  <c:v>10.82</c:v>
                </c:pt>
                <c:pt idx="10">
                  <c:v>11.42</c:v>
                </c:pt>
                <c:pt idx="11">
                  <c:v>13.79</c:v>
                </c:pt>
                <c:pt idx="12">
                  <c:v>16.54</c:v>
                </c:pt>
                <c:pt idx="13">
                  <c:v>14.63</c:v>
                </c:pt>
                <c:pt idx="14">
                  <c:v>13.64</c:v>
                </c:pt>
              </c:numCache>
            </c:numRef>
          </c:val>
          <c:smooth val="0"/>
        </c:ser>
        <c:ser>
          <c:idx val="37"/>
          <c:order val="37"/>
          <c:tx>
            <c:strRef>
              <c:f>CALC!$AM$27:$AM$28</c:f>
              <c:strCache>
                <c:ptCount val="1"/>
                <c:pt idx="0">
                  <c:v>TSMC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CALC!$AM$29:$AM$44</c:f>
              <c:numCache>
                <c:formatCode>General</c:formatCode>
                <c:ptCount val="15"/>
                <c:pt idx="0">
                  <c:v>13.42</c:v>
                </c:pt>
                <c:pt idx="1">
                  <c:v>16.32</c:v>
                </c:pt>
                <c:pt idx="2">
                  <c:v>17.559999999999999</c:v>
                </c:pt>
                <c:pt idx="3">
                  <c:v>21.36</c:v>
                </c:pt>
                <c:pt idx="4">
                  <c:v>23.93</c:v>
                </c:pt>
                <c:pt idx="5">
                  <c:v>27.31</c:v>
                </c:pt>
                <c:pt idx="6">
                  <c:v>29.19</c:v>
                </c:pt>
                <c:pt idx="7">
                  <c:v>32.11</c:v>
                </c:pt>
                <c:pt idx="8">
                  <c:v>34.58</c:v>
                </c:pt>
                <c:pt idx="9">
                  <c:v>40.909999999999997</c:v>
                </c:pt>
                <c:pt idx="10">
                  <c:v>45.25</c:v>
                </c:pt>
                <c:pt idx="11">
                  <c:v>62.97</c:v>
                </c:pt>
                <c:pt idx="12">
                  <c:v>74.930000000000007</c:v>
                </c:pt>
                <c:pt idx="13">
                  <c:v>70.42</c:v>
                </c:pt>
                <c:pt idx="14">
                  <c:v>88.89</c:v>
                </c:pt>
              </c:numCache>
            </c:numRef>
          </c:val>
          <c:smooth val="0"/>
        </c:ser>
        <c:ser>
          <c:idx val="38"/>
          <c:order val="38"/>
          <c:tx>
            <c:strRef>
              <c:f>CALC!$AN$27:$AN$28</c:f>
              <c:strCache>
                <c:ptCount val="1"/>
                <c:pt idx="0">
                  <c:v>UMC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CALC!$AN$29:$AN$44</c:f>
              <c:numCache>
                <c:formatCode>General</c:formatCode>
                <c:ptCount val="15"/>
                <c:pt idx="0">
                  <c:v>4.3499999999999996</c:v>
                </c:pt>
                <c:pt idx="1">
                  <c:v>4.32</c:v>
                </c:pt>
                <c:pt idx="2">
                  <c:v>4.3499999999999996</c:v>
                </c:pt>
                <c:pt idx="3">
                  <c:v>4.6399999999999997</c:v>
                </c:pt>
                <c:pt idx="4">
                  <c:v>4.62</c:v>
                </c:pt>
                <c:pt idx="5">
                  <c:v>4.5199999999999996</c:v>
                </c:pt>
                <c:pt idx="6">
                  <c:v>4.71</c:v>
                </c:pt>
                <c:pt idx="7">
                  <c:v>4.83</c:v>
                </c:pt>
                <c:pt idx="8">
                  <c:v>5.14</c:v>
                </c:pt>
                <c:pt idx="9">
                  <c:v>5.29</c:v>
                </c:pt>
                <c:pt idx="10">
                  <c:v>6.04</c:v>
                </c:pt>
                <c:pt idx="11">
                  <c:v>7.69</c:v>
                </c:pt>
                <c:pt idx="12">
                  <c:v>9.4</c:v>
                </c:pt>
                <c:pt idx="13">
                  <c:v>6.87</c:v>
                </c:pt>
                <c:pt idx="14">
                  <c:v>7.41</c:v>
                </c:pt>
              </c:numCache>
            </c:numRef>
          </c:val>
          <c:smooth val="0"/>
        </c:ser>
        <c:ser>
          <c:idx val="39"/>
          <c:order val="39"/>
          <c:tx>
            <c:strRef>
              <c:f>CALC!$AO$27:$AO$28</c:f>
              <c:strCache>
                <c:ptCount val="1"/>
                <c:pt idx="0">
                  <c:v>Yangtze Memory (YMTC)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CALC!$A$29:$A$44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CALC!$AO$29:$AO$44</c:f>
              <c:numCache>
                <c:formatCode>General</c:formatCode>
                <c:ptCount val="15"/>
                <c:pt idx="7">
                  <c:v>0.1</c:v>
                </c:pt>
                <c:pt idx="8">
                  <c:v>0.28999999999999998</c:v>
                </c:pt>
                <c:pt idx="9">
                  <c:v>0.51</c:v>
                </c:pt>
                <c:pt idx="10">
                  <c:v>1.23</c:v>
                </c:pt>
                <c:pt idx="11">
                  <c:v>2.1</c:v>
                </c:pt>
                <c:pt idx="12">
                  <c:v>4.12</c:v>
                </c:pt>
                <c:pt idx="13">
                  <c:v>5.17</c:v>
                </c:pt>
                <c:pt idx="14">
                  <c:v>6.62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4636160"/>
        <c:axId val="-1194631808"/>
      </c:lineChart>
      <c:catAx>
        <c:axId val="-1194636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0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31808"/>
        <c:crosses val="autoZero"/>
        <c:auto val="1"/>
        <c:lblAlgn val="ctr"/>
        <c:lblOffset val="100"/>
        <c:noMultiLvlLbl val="0"/>
      </c:catAx>
      <c:valAx>
        <c:axId val="-119463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3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5885ca-ffa9-4ccd-a2ba-42484e9e6f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415789473684199"/>
          <c:y val="0.18541666666666701"/>
          <c:w val="0.65847368421052599"/>
          <c:h val="0.710972222222222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CALC!$A$50:$A$90</c:f>
              <c:strCache>
                <c:ptCount val="40"/>
                <c:pt idx="0">
                  <c:v>AMD</c:v>
                </c:pt>
                <c:pt idx="1">
                  <c:v>Analog Devices</c:v>
                </c:pt>
                <c:pt idx="2">
                  <c:v>Applied Materials</c:v>
                </c:pt>
                <c:pt idx="3">
                  <c:v>ASML</c:v>
                </c:pt>
                <c:pt idx="4">
                  <c:v>Broadcom</c:v>
                </c:pt>
                <c:pt idx="5">
                  <c:v>Cadence</c:v>
                </c:pt>
                <c:pt idx="6">
                  <c:v>Cerebras Systems</c:v>
                </c:pt>
                <c:pt idx="7">
                  <c:v>ChangXin Memory (CXMT)</c:v>
                </c:pt>
                <c:pt idx="8">
                  <c:v>GlobalFoundries</c:v>
                </c:pt>
                <c:pt idx="9">
                  <c:v>Graphcore</c:v>
                </c:pt>
                <c:pt idx="10">
                  <c:v>Groq</c:v>
                </c:pt>
                <c:pt idx="11">
                  <c:v>HiSilicon (Huawei)</c:v>
                </c:pt>
                <c:pt idx="12">
                  <c:v>Hua Hong</c:v>
                </c:pt>
                <c:pt idx="13">
                  <c:v>Infineon</c:v>
                </c:pt>
                <c:pt idx="14">
                  <c:v>Intel</c:v>
                </c:pt>
                <c:pt idx="15">
                  <c:v>KLA</c:v>
                </c:pt>
                <c:pt idx="16">
                  <c:v>Lam Research</c:v>
                </c:pt>
                <c:pt idx="17">
                  <c:v>Marvell</c:v>
                </c:pt>
                <c:pt idx="18">
                  <c:v>MediaTek</c:v>
                </c:pt>
                <c:pt idx="19">
                  <c:v>Microchip</c:v>
                </c:pt>
                <c:pt idx="20">
                  <c:v>Micron</c:v>
                </c:pt>
                <c:pt idx="21">
                  <c:v>NVIDIA</c:v>
                </c:pt>
                <c:pt idx="22">
                  <c:v>NXP Semiconductors</c:v>
                </c:pt>
                <c:pt idx="23">
                  <c:v>Onsemi</c:v>
                </c:pt>
                <c:pt idx="24">
                  <c:v>Qualcomm</c:v>
                </c:pt>
                <c:pt idx="25">
                  <c:v>Renesas</c:v>
                </c:pt>
                <c:pt idx="26">
                  <c:v>SambaNova</c:v>
                </c:pt>
                <c:pt idx="27">
                  <c:v>Samsung Foundry</c:v>
                </c:pt>
                <c:pt idx="28">
                  <c:v>Samsung Memory</c:v>
                </c:pt>
                <c:pt idx="29">
                  <c:v>SCREEN Holdings</c:v>
                </c:pt>
                <c:pt idx="30">
                  <c:v>SK Hynix</c:v>
                </c:pt>
                <c:pt idx="31">
                  <c:v>SMIC</c:v>
                </c:pt>
                <c:pt idx="32">
                  <c:v>STMicroelectronics</c:v>
                </c:pt>
                <c:pt idx="33">
                  <c:v>Synopsys</c:v>
                </c:pt>
                <c:pt idx="34">
                  <c:v>Tenstorrent</c:v>
                </c:pt>
                <c:pt idx="35">
                  <c:v>Texas Instruments</c:v>
                </c:pt>
                <c:pt idx="36">
                  <c:v>Tokyo Electron</c:v>
                </c:pt>
                <c:pt idx="37">
                  <c:v>TSMC</c:v>
                </c:pt>
                <c:pt idx="38">
                  <c:v>UMC</c:v>
                </c:pt>
                <c:pt idx="39">
                  <c:v>Yangtze Memory (YMTC)</c:v>
                </c:pt>
              </c:strCache>
            </c:strRef>
          </c:cat>
          <c:val>
            <c:numRef>
              <c:f>CALC!$B$50:$B$90</c:f>
              <c:numCache>
                <c:formatCode>General</c:formatCode>
                <c:ptCount val="40"/>
                <c:pt idx="0">
                  <c:v>23.6</c:v>
                </c:pt>
                <c:pt idx="1">
                  <c:v>42.3</c:v>
                </c:pt>
                <c:pt idx="2">
                  <c:v>31.1</c:v>
                </c:pt>
                <c:pt idx="3">
                  <c:v>33.299999999999997</c:v>
                </c:pt>
                <c:pt idx="4">
                  <c:v>25.4</c:v>
                </c:pt>
                <c:pt idx="5">
                  <c:v>41.3</c:v>
                </c:pt>
                <c:pt idx="6">
                  <c:v>4.3</c:v>
                </c:pt>
                <c:pt idx="7">
                  <c:v>30</c:v>
                </c:pt>
                <c:pt idx="8">
                  <c:v>37</c:v>
                </c:pt>
                <c:pt idx="9">
                  <c:v>11.1</c:v>
                </c:pt>
                <c:pt idx="10">
                  <c:v>8.5</c:v>
                </c:pt>
                <c:pt idx="11">
                  <c:v>30.2</c:v>
                </c:pt>
                <c:pt idx="12">
                  <c:v>40.299999999999997</c:v>
                </c:pt>
                <c:pt idx="13">
                  <c:v>21.3</c:v>
                </c:pt>
                <c:pt idx="14">
                  <c:v>8.8000000000000007</c:v>
                </c:pt>
                <c:pt idx="15">
                  <c:v>38.1</c:v>
                </c:pt>
                <c:pt idx="16">
                  <c:v>29.9</c:v>
                </c:pt>
                <c:pt idx="17">
                  <c:v>27.5</c:v>
                </c:pt>
                <c:pt idx="18">
                  <c:v>26.4</c:v>
                </c:pt>
                <c:pt idx="19">
                  <c:v>34.4</c:v>
                </c:pt>
                <c:pt idx="20">
                  <c:v>28.4</c:v>
                </c:pt>
                <c:pt idx="21">
                  <c:v>59.5</c:v>
                </c:pt>
                <c:pt idx="22">
                  <c:v>21</c:v>
                </c:pt>
                <c:pt idx="23">
                  <c:v>26.2</c:v>
                </c:pt>
                <c:pt idx="24">
                  <c:v>31.1</c:v>
                </c:pt>
                <c:pt idx="25">
                  <c:v>21.9</c:v>
                </c:pt>
                <c:pt idx="26">
                  <c:v>5.9</c:v>
                </c:pt>
                <c:pt idx="27">
                  <c:v>41.8</c:v>
                </c:pt>
                <c:pt idx="28">
                  <c:v>26.8</c:v>
                </c:pt>
                <c:pt idx="29">
                  <c:v>15.4</c:v>
                </c:pt>
                <c:pt idx="30">
                  <c:v>28.8</c:v>
                </c:pt>
                <c:pt idx="31">
                  <c:v>37.299999999999997</c:v>
                </c:pt>
                <c:pt idx="32">
                  <c:v>22.1</c:v>
                </c:pt>
                <c:pt idx="33">
                  <c:v>36.9</c:v>
                </c:pt>
                <c:pt idx="34">
                  <c:v>11.7</c:v>
                </c:pt>
                <c:pt idx="35">
                  <c:v>42.6</c:v>
                </c:pt>
                <c:pt idx="36">
                  <c:v>21.2</c:v>
                </c:pt>
                <c:pt idx="37">
                  <c:v>41.3</c:v>
                </c:pt>
                <c:pt idx="38">
                  <c:v>35.9</c:v>
                </c:pt>
                <c:pt idx="39">
                  <c:v>31.6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-1194629632"/>
        <c:axId val="-1194638336"/>
      </c:barChart>
      <c:catAx>
        <c:axId val="-119462963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38336"/>
        <c:crosses val="autoZero"/>
        <c:auto val="1"/>
        <c:lblAlgn val="ctr"/>
        <c:lblOffset val="100"/>
        <c:noMultiLvlLbl val="0"/>
      </c:catAx>
      <c:valAx>
        <c:axId val="-11946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74335044330396"/>
          <c:y val="0.170873352691535"/>
          <c:w val="0.136257582827811"/>
          <c:h val="0.66741121286575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2813ae-8b02-488c-afd6-6d8c03919f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[semiconductor_dashboard.xlsx]CALC!PivotTable4</c:name>
    <c:fmtId val="6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102092903948001"/>
          <c:y val="0.13720875500117699"/>
          <c:w val="0.60584210526315796"/>
          <c:h val="0.59037037037036999"/>
        </c:manualLayout>
      </c:layout>
      <c:lineChart>
        <c:grouping val="standard"/>
        <c:varyColors val="0"/>
        <c:ser>
          <c:idx val="0"/>
          <c:order val="0"/>
          <c:tx>
            <c:strRef>
              <c:f>CALC!$B$95:$B$96</c:f>
              <c:strCache>
                <c:ptCount val="1"/>
                <c:pt idx="0">
                  <c:v>DRAM_DDR4_8Gb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CALC!$B$97:$B$110</c:f>
              <c:numCache>
                <c:formatCode>General</c:formatCode>
                <c:ptCount val="13"/>
                <c:pt idx="0">
                  <c:v>3.9408333333333299</c:v>
                </c:pt>
                <c:pt idx="1">
                  <c:v>2.9791666666666701</c:v>
                </c:pt>
                <c:pt idx="2">
                  <c:v>3.1366666666666698</c:v>
                </c:pt>
                <c:pt idx="3">
                  <c:v>5.4474999999999998</c:v>
                </c:pt>
                <c:pt idx="4">
                  <c:v>7.7949999999999999</c:v>
                </c:pt>
                <c:pt idx="5">
                  <c:v>4.8833333333333302</c:v>
                </c:pt>
                <c:pt idx="6">
                  <c:v>3.1016666666666701</c:v>
                </c:pt>
                <c:pt idx="7">
                  <c:v>3.6883333333333299</c:v>
                </c:pt>
                <c:pt idx="8">
                  <c:v>3.21166666666667</c:v>
                </c:pt>
                <c:pt idx="9">
                  <c:v>1.64916666666667</c:v>
                </c:pt>
                <c:pt idx="10">
                  <c:v>2.0333333333333301</c:v>
                </c:pt>
                <c:pt idx="11">
                  <c:v>1.96583333333333</c:v>
                </c:pt>
                <c:pt idx="12">
                  <c:v>2.16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CALC!$C$95:$C$96</c:f>
              <c:strCache>
                <c:ptCount val="1"/>
                <c:pt idx="0">
                  <c:v>HBM3_stack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CALC!$C$97:$C$110</c:f>
              <c:numCache>
                <c:formatCode>General</c:formatCode>
                <c:ptCount val="13"/>
                <c:pt idx="8">
                  <c:v>233.15333333333299</c:v>
                </c:pt>
                <c:pt idx="9">
                  <c:v>359.58333333333297</c:v>
                </c:pt>
                <c:pt idx="10">
                  <c:v>592.70000000000005</c:v>
                </c:pt>
                <c:pt idx="11">
                  <c:v>748.89499999999998</c:v>
                </c:pt>
                <c:pt idx="12">
                  <c:v>796.41499999999996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CALC!$D$95:$D$96</c:f>
              <c:strCache>
                <c:ptCount val="1"/>
                <c:pt idx="0">
                  <c:v>NAND_64Gb_MLC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CALC!$D$97:$D$110</c:f>
              <c:numCache>
                <c:formatCode>General</c:formatCode>
                <c:ptCount val="13"/>
                <c:pt idx="0">
                  <c:v>2.87</c:v>
                </c:pt>
                <c:pt idx="1">
                  <c:v>2.2324999999999999</c:v>
                </c:pt>
                <c:pt idx="2">
                  <c:v>2.6558333333333302</c:v>
                </c:pt>
                <c:pt idx="3">
                  <c:v>4.4408333333333303</c:v>
                </c:pt>
                <c:pt idx="4">
                  <c:v>4.8</c:v>
                </c:pt>
                <c:pt idx="5">
                  <c:v>4.0333333333333297</c:v>
                </c:pt>
                <c:pt idx="6">
                  <c:v>4.5091666666666699</c:v>
                </c:pt>
                <c:pt idx="7">
                  <c:v>4.8158333333333303</c:v>
                </c:pt>
                <c:pt idx="8">
                  <c:v>4.3066666666666702</c:v>
                </c:pt>
                <c:pt idx="9">
                  <c:v>3.6183333333333301</c:v>
                </c:pt>
                <c:pt idx="10">
                  <c:v>4.2141666666666699</c:v>
                </c:pt>
                <c:pt idx="11">
                  <c:v>4.12916666666667</c:v>
                </c:pt>
                <c:pt idx="12">
                  <c:v>4.0425000000000004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94633984"/>
        <c:axId val="-1194637248"/>
      </c:lineChart>
      <c:lineChart>
        <c:grouping val="standard"/>
        <c:varyColors val="0"/>
        <c:ser>
          <c:idx val="3"/>
          <c:order val="3"/>
          <c:tx>
            <c:strRef>
              <c:f>CALC!$E$95:$E$96</c:f>
              <c:strCache>
                <c:ptCount val="1"/>
                <c:pt idx="0">
                  <c:v>NVIDIA_B200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CALC!$E$97:$E$110</c:f>
              <c:numCache>
                <c:formatCode>General</c:formatCode>
                <c:ptCount val="13"/>
                <c:pt idx="10">
                  <c:v>40206.559999999998</c:v>
                </c:pt>
                <c:pt idx="11">
                  <c:v>34074.76</c:v>
                </c:pt>
                <c:pt idx="12">
                  <c:v>31210.685000000001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CALC!$F$95:$F$96</c:f>
              <c:strCache>
                <c:ptCount val="1"/>
                <c:pt idx="0">
                  <c:v>NVIDIA_H100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CALC!$A$97:$A$110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CALC!$F$97:$F$110</c:f>
              <c:numCache>
                <c:formatCode>General</c:formatCode>
                <c:ptCount val="13"/>
                <c:pt idx="9">
                  <c:v>33730.366999999998</c:v>
                </c:pt>
                <c:pt idx="10">
                  <c:v>28286.465</c:v>
                </c:pt>
                <c:pt idx="11">
                  <c:v>24477.73</c:v>
                </c:pt>
                <c:pt idx="12">
                  <c:v>20303.22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94642144"/>
        <c:axId val="-1194641600"/>
      </c:lineChart>
      <c:catAx>
        <c:axId val="-1194633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37248"/>
        <c:crosses val="autoZero"/>
        <c:auto val="1"/>
        <c:lblAlgn val="ctr"/>
        <c:lblOffset val="100"/>
        <c:noMultiLvlLbl val="0"/>
      </c:catAx>
      <c:valAx>
        <c:axId val="-119463724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Memory Price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33984"/>
        <c:crosses val="autoZero"/>
        <c:crossBetween val="between"/>
      </c:valAx>
      <c:catAx>
        <c:axId val="-1194642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194641600"/>
        <c:crosses val="autoZero"/>
        <c:auto val="1"/>
        <c:lblAlgn val="ctr"/>
        <c:lblOffset val="100"/>
        <c:noMultiLvlLbl val="0"/>
      </c:catAx>
      <c:valAx>
        <c:axId val="-1194641600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GPU Price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4214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87529473408406"/>
          <c:y val="0.179171597633136"/>
          <c:w val="0.15885075539254201"/>
          <c:h val="0.490650887573965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22bae8-b937-47ea-ad6f-daeda50d58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CALC!$B$115:$B$116</c:f>
              <c:strCache>
                <c:ptCount val="1"/>
                <c:pt idx="0">
                  <c:v>Advanced (7-16nm)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CALC!$A$117:$A$124</c:f>
              <c:strCache>
                <c:ptCount val="7"/>
                <c:pt idx="0">
                  <c:v>China</c:v>
                </c:pt>
                <c:pt idx="1">
                  <c:v>Europe</c:v>
                </c:pt>
                <c:pt idx="2">
                  <c:v>Japan</c:v>
                </c:pt>
                <c:pt idx="3">
                  <c:v>Middle East</c:v>
                </c:pt>
                <c:pt idx="4">
                  <c:v>South Korea</c:v>
                </c:pt>
                <c:pt idx="5">
                  <c:v>Taiwan</c:v>
                </c:pt>
                <c:pt idx="6">
                  <c:v>USA</c:v>
                </c:pt>
              </c:strCache>
            </c:strRef>
          </c:cat>
          <c:val>
            <c:numRef>
              <c:f>CALC!$B$117:$B$124</c:f>
              <c:numCache>
                <c:formatCode>General</c:formatCode>
                <c:ptCount val="7"/>
                <c:pt idx="0">
                  <c:v>360099</c:v>
                </c:pt>
                <c:pt idx="3">
                  <c:v>0</c:v>
                </c:pt>
                <c:pt idx="4">
                  <c:v>1609862</c:v>
                </c:pt>
                <c:pt idx="5">
                  <c:v>540761</c:v>
                </c:pt>
                <c:pt idx="6">
                  <c:v>545000</c:v>
                </c:pt>
              </c:numCache>
            </c:numRef>
          </c:val>
        </c:ser>
        <c:ser>
          <c:idx val="1"/>
          <c:order val="1"/>
          <c:tx>
            <c:strRef>
              <c:f>CALC!$C$115:$C$116</c:f>
              <c:strCache>
                <c:ptCount val="1"/>
                <c:pt idx="0">
                  <c:v>Leading Edge (3-5nm)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CALC!$A$117:$A$124</c:f>
              <c:strCache>
                <c:ptCount val="7"/>
                <c:pt idx="0">
                  <c:v>China</c:v>
                </c:pt>
                <c:pt idx="1">
                  <c:v>Europe</c:v>
                </c:pt>
                <c:pt idx="2">
                  <c:v>Japan</c:v>
                </c:pt>
                <c:pt idx="3">
                  <c:v>Middle East</c:v>
                </c:pt>
                <c:pt idx="4">
                  <c:v>South Korea</c:v>
                </c:pt>
                <c:pt idx="5">
                  <c:v>Taiwan</c:v>
                </c:pt>
                <c:pt idx="6">
                  <c:v>USA</c:v>
                </c:pt>
              </c:strCache>
            </c:strRef>
          </c:cat>
          <c:val>
            <c:numRef>
              <c:f>CALC!$C$117:$C$124</c:f>
              <c:numCache>
                <c:formatCode>General</c:formatCode>
                <c:ptCount val="7"/>
                <c:pt idx="4">
                  <c:v>138187</c:v>
                </c:pt>
                <c:pt idx="5">
                  <c:v>226176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CALC!$D$115:$D$116</c:f>
              <c:strCache>
                <c:ptCount val="1"/>
                <c:pt idx="0">
                  <c:v>Legacy (40nm+)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CALC!$A$117:$A$124</c:f>
              <c:strCache>
                <c:ptCount val="7"/>
                <c:pt idx="0">
                  <c:v>China</c:v>
                </c:pt>
                <c:pt idx="1">
                  <c:v>Europe</c:v>
                </c:pt>
                <c:pt idx="2">
                  <c:v>Japan</c:v>
                </c:pt>
                <c:pt idx="3">
                  <c:v>Middle East</c:v>
                </c:pt>
                <c:pt idx="4">
                  <c:v>South Korea</c:v>
                </c:pt>
                <c:pt idx="5">
                  <c:v>Taiwan</c:v>
                </c:pt>
                <c:pt idx="6">
                  <c:v>USA</c:v>
                </c:pt>
              </c:strCache>
            </c:strRef>
          </c:cat>
          <c:val>
            <c:numRef>
              <c:f>CALC!$D$117:$D$124</c:f>
              <c:numCache>
                <c:formatCode>General</c:formatCode>
                <c:ptCount val="7"/>
                <c:pt idx="1">
                  <c:v>211964</c:v>
                </c:pt>
                <c:pt idx="2">
                  <c:v>45954</c:v>
                </c:pt>
              </c:numCache>
            </c:numRef>
          </c:val>
        </c:ser>
        <c:ser>
          <c:idx val="3"/>
          <c:order val="3"/>
          <c:tx>
            <c:strRef>
              <c:f>CALC!$E$115:$E$116</c:f>
              <c:strCache>
                <c:ptCount val="1"/>
                <c:pt idx="0">
                  <c:v>Mature (22-28nm)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CALC!$A$117:$A$124</c:f>
              <c:strCache>
                <c:ptCount val="7"/>
                <c:pt idx="0">
                  <c:v>China</c:v>
                </c:pt>
                <c:pt idx="1">
                  <c:v>Europe</c:v>
                </c:pt>
                <c:pt idx="2">
                  <c:v>Japan</c:v>
                </c:pt>
                <c:pt idx="3">
                  <c:v>Middle East</c:v>
                </c:pt>
                <c:pt idx="4">
                  <c:v>South Korea</c:v>
                </c:pt>
                <c:pt idx="5">
                  <c:v>Taiwan</c:v>
                </c:pt>
                <c:pt idx="6">
                  <c:v>USA</c:v>
                </c:pt>
              </c:strCache>
            </c:strRef>
          </c:cat>
          <c:val>
            <c:numRef>
              <c:f>CALC!$E$117:$E$124</c:f>
              <c:numCache>
                <c:formatCode>General</c:formatCode>
                <c:ptCount val="7"/>
                <c:pt idx="0">
                  <c:v>129906</c:v>
                </c:pt>
                <c:pt idx="1">
                  <c:v>48963</c:v>
                </c:pt>
                <c:pt idx="2">
                  <c:v>0</c:v>
                </c:pt>
                <c:pt idx="5">
                  <c:v>307760</c:v>
                </c:pt>
                <c:pt idx="6">
                  <c:v>137548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-1194635616"/>
        <c:axId val="-1194635072"/>
      </c:barChart>
      <c:catAx>
        <c:axId val="-119463561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35072"/>
        <c:crosses val="autoZero"/>
        <c:auto val="1"/>
        <c:lblAlgn val="ctr"/>
        <c:lblOffset val="100"/>
        <c:noMultiLvlLbl val="0"/>
      </c:catAx>
      <c:valAx>
        <c:axId val="-119463507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463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22856c-e6de-4b96-9aa9-2644e4dda3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[semiconductor_dashboard.xlsx]CALC!PivotTable6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CALC!$C$129</c:f>
              <c:strCache>
                <c:ptCount val="1"/>
                <c:pt idx="0">
                  <c:v>Sum of Severity_score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CALC!$A$130:$B$142</c:f>
              <c:multiLvlStrCache>
                <c:ptCount val="9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2025</c:v>
                  </c:pt>
                  <c:pt idx="8">
                    <c:v>2026</c:v>
                  </c:pt>
                </c:lvl>
                <c:lvl>
                  <c:pt idx="0">
                    <c:v>Biden</c:v>
                  </c:pt>
                  <c:pt idx="4">
                    <c:v>Trump 1.0</c:v>
                  </c:pt>
                  <c:pt idx="7">
                    <c:v>Trump 2.0</c:v>
                  </c:pt>
                </c:lvl>
              </c:multiLvlStrCache>
            </c:multiLvlStrRef>
          </c:cat>
          <c:val>
            <c:numRef>
              <c:f>CALC!$C$130:$C$142</c:f>
              <c:numCache>
                <c:formatCode>General</c:formatCode>
                <c:ptCount val="9"/>
                <c:pt idx="0">
                  <c:v>5</c:v>
                </c:pt>
                <c:pt idx="1">
                  <c:v>36</c:v>
                </c:pt>
                <c:pt idx="2">
                  <c:v>52</c:v>
                </c:pt>
                <c:pt idx="3">
                  <c:v>40</c:v>
                </c:pt>
                <c:pt idx="4">
                  <c:v>5</c:v>
                </c:pt>
                <c:pt idx="5">
                  <c:v>12</c:v>
                </c:pt>
                <c:pt idx="6">
                  <c:v>24</c:v>
                </c:pt>
                <c:pt idx="7">
                  <c:v>48</c:v>
                </c:pt>
                <c:pt idx="8">
                  <c:v>24</c:v>
                </c:pt>
              </c:numCache>
            </c:numRef>
          </c:val>
        </c:ser>
        <c:ser>
          <c:idx val="1"/>
          <c:order val="1"/>
          <c:tx>
            <c:strRef>
              <c:f>CALC!$D$129</c:f>
              <c:strCache>
                <c:ptCount val="1"/>
                <c:pt idx="0">
                  <c:v>Count of Control_id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CALC!$A$130:$B$142</c:f>
              <c:multiLvlStrCache>
                <c:ptCount val="9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2025</c:v>
                  </c:pt>
                  <c:pt idx="8">
                    <c:v>2026</c:v>
                  </c:pt>
                </c:lvl>
                <c:lvl>
                  <c:pt idx="0">
                    <c:v>Biden</c:v>
                  </c:pt>
                  <c:pt idx="4">
                    <c:v>Trump 1.0</c:v>
                  </c:pt>
                  <c:pt idx="7">
                    <c:v>Trump 2.0</c:v>
                  </c:pt>
                </c:lvl>
              </c:multiLvlStrCache>
            </c:multiLvlStrRef>
          </c:cat>
          <c:val>
            <c:numRef>
              <c:f>CALC!$D$130:$D$142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7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-1191479152"/>
        <c:axId val="-1191486224"/>
      </c:barChart>
      <c:catAx>
        <c:axId val="-119147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1486224"/>
        <c:crosses val="autoZero"/>
        <c:auto val="1"/>
        <c:lblAlgn val="ctr"/>
        <c:lblOffset val="100"/>
        <c:noMultiLvlLbl val="0"/>
      </c:catAx>
      <c:valAx>
        <c:axId val="-119148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147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dbc97d-9cea-4a6c-a4f3-15e25fb0d4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68580</xdr:rowOff>
    </xdr:from>
    <xdr:to>
      <xdr:col>19</xdr:col>
      <xdr:colOff>147320</xdr:colOff>
      <xdr:row>21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22</xdr:row>
      <xdr:rowOff>213995</xdr:rowOff>
    </xdr:from>
    <xdr:to>
      <xdr:col>9</xdr:col>
      <xdr:colOff>101600</xdr:colOff>
      <xdr:row>36</xdr:row>
      <xdr:rowOff>7620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19</xdr:col>
      <xdr:colOff>168910</xdr:colOff>
      <xdr:row>35</xdr:row>
      <xdr:rowOff>175260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37</xdr:row>
      <xdr:rowOff>0</xdr:rowOff>
    </xdr:from>
    <xdr:to>
      <xdr:col>9</xdr:col>
      <xdr:colOff>86360</xdr:colOff>
      <xdr:row>49</xdr:row>
      <xdr:rowOff>213360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19</xdr:col>
      <xdr:colOff>184785</xdr:colOff>
      <xdr:row>49</xdr:row>
      <xdr:rowOff>167640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114300</xdr:colOff>
      <xdr:row>11</xdr:row>
      <xdr:rowOff>68580</xdr:rowOff>
    </xdr:from>
    <xdr:to>
      <xdr:col>21</xdr:col>
      <xdr:colOff>542925</xdr:colOff>
      <xdr:row>17</xdr:row>
      <xdr:rowOff>165735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45350" y="2430780"/>
              <a:ext cx="1828800" cy="1468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20</xdr:col>
      <xdr:colOff>655320</xdr:colOff>
      <xdr:row>10</xdr:row>
      <xdr:rowOff>182880</xdr:rowOff>
    </xdr:from>
    <xdr:ext cx="309880" cy="273685"/>
    <xdr:sp macro="" textlink="">
      <xdr:nvSpPr>
        <xdr:cNvPr id="9" name="Text Box 8"/>
        <xdr:cNvSpPr txBox="1"/>
      </xdr:nvSpPr>
      <xdr:spPr>
        <a:xfrm>
          <a:off x="20486370" y="231648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oneCellAnchor>
    <xdr:from>
      <xdr:col>20</xdr:col>
      <xdr:colOff>160020</xdr:colOff>
      <xdr:row>9</xdr:row>
      <xdr:rowOff>168275</xdr:rowOff>
    </xdr:from>
    <xdr:ext cx="1774190" cy="264795"/>
    <xdr:sp macro="" textlink="">
      <xdr:nvSpPr>
        <xdr:cNvPr id="10" name="Text Box 9"/>
        <xdr:cNvSpPr txBox="1"/>
      </xdr:nvSpPr>
      <xdr:spPr>
        <a:xfrm>
          <a:off x="19991070" y="2073275"/>
          <a:ext cx="1774190" cy="2647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>
              <a:solidFill>
                <a:schemeClr val="bg1"/>
              </a:solidFill>
            </a:rPr>
            <a:t>             </a:t>
          </a:r>
          <a:r>
            <a:rPr lang="en-US" sz="1200" b="1">
              <a:solidFill>
                <a:schemeClr val="bg1"/>
              </a:solidFill>
            </a:rPr>
            <a:t> Filter By Year</a:t>
          </a:r>
        </a:p>
      </xdr:txBody>
    </xdr:sp>
    <xdr:clientData/>
  </xdr:oneCellAnchor>
  <xdr:twoCellAnchor editAs="oneCell">
    <xdr:from>
      <xdr:col>20</xdr:col>
      <xdr:colOff>144780</xdr:colOff>
      <xdr:row>20</xdr:row>
      <xdr:rowOff>208280</xdr:rowOff>
    </xdr:from>
    <xdr:to>
      <xdr:col>21</xdr:col>
      <xdr:colOff>573405</xdr:colOff>
      <xdr:row>27</xdr:row>
      <xdr:rowOff>198120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ompany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any_nam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75830" y="4627880"/>
              <a:ext cx="1828800" cy="1590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20</xdr:col>
      <xdr:colOff>137795</xdr:colOff>
      <xdr:row>19</xdr:row>
      <xdr:rowOff>53340</xdr:rowOff>
    </xdr:from>
    <xdr:ext cx="1824355" cy="317500"/>
    <xdr:sp macro="" textlink="">
      <xdr:nvSpPr>
        <xdr:cNvPr id="12" name="Text Box 11"/>
        <xdr:cNvSpPr txBox="1"/>
      </xdr:nvSpPr>
      <xdr:spPr>
        <a:xfrm>
          <a:off x="19968845" y="4244340"/>
          <a:ext cx="1824355" cy="3175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  </a:t>
          </a:r>
          <a:r>
            <a:rPr lang="en-US" sz="1200" b="1">
              <a:solidFill>
                <a:schemeClr val="bg1"/>
              </a:solidFill>
            </a:rPr>
            <a:t>    Filter By Company</a:t>
          </a:r>
        </a:p>
      </xdr:txBody>
    </xdr:sp>
    <xdr:clientData/>
  </xdr:oneCellAnchor>
  <xdr:twoCellAnchor editAs="oneCell">
    <xdr:from>
      <xdr:col>20</xdr:col>
      <xdr:colOff>175260</xdr:colOff>
      <xdr:row>31</xdr:row>
      <xdr:rowOff>48260</xdr:rowOff>
    </xdr:from>
    <xdr:to>
      <xdr:col>21</xdr:col>
      <xdr:colOff>603885</xdr:colOff>
      <xdr:row>36</xdr:row>
      <xdr:rowOff>175895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dmin_Er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min_Era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6310" y="6982460"/>
              <a:ext cx="1828800" cy="1270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20</xdr:col>
      <xdr:colOff>160655</xdr:colOff>
      <xdr:row>30</xdr:row>
      <xdr:rowOff>15240</xdr:rowOff>
    </xdr:from>
    <xdr:ext cx="1843405" cy="259080"/>
    <xdr:sp macro="" textlink="">
      <xdr:nvSpPr>
        <xdr:cNvPr id="14" name="Text Box 13"/>
        <xdr:cNvSpPr txBox="1"/>
      </xdr:nvSpPr>
      <xdr:spPr>
        <a:xfrm>
          <a:off x="19991705" y="6720840"/>
          <a:ext cx="1843405" cy="2590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>
              <a:solidFill>
                <a:schemeClr val="bg1"/>
              </a:solidFill>
            </a:rPr>
            <a:t>       </a:t>
          </a:r>
          <a:r>
            <a:rPr lang="en-US" sz="1200" b="1">
              <a:solidFill>
                <a:schemeClr val="bg1"/>
              </a:solidFill>
            </a:rPr>
            <a:t>Filter By Admin Era</a:t>
          </a:r>
        </a:p>
      </xdr:txBody>
    </xdr:sp>
    <xdr:clientData/>
  </xdr:oneCellAnchor>
  <xdr:twoCellAnchor editAs="oneCell">
    <xdr:from>
      <xdr:col>20</xdr:col>
      <xdr:colOff>205740</xdr:colOff>
      <xdr:row>41</xdr:row>
      <xdr:rowOff>165100</xdr:rowOff>
    </xdr:from>
    <xdr:to>
      <xdr:col>21</xdr:col>
      <xdr:colOff>634365</xdr:colOff>
      <xdr:row>47</xdr:row>
      <xdr:rowOff>215900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Node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de_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36790" y="9385300"/>
              <a:ext cx="1828800" cy="142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20</xdr:col>
      <xdr:colOff>221615</xdr:colOff>
      <xdr:row>40</xdr:row>
      <xdr:rowOff>107315</xdr:rowOff>
    </xdr:from>
    <xdr:ext cx="1830705" cy="273685"/>
    <xdr:sp macro="" textlink="">
      <xdr:nvSpPr>
        <xdr:cNvPr id="16" name="Text Box 15"/>
        <xdr:cNvSpPr txBox="1"/>
      </xdr:nvSpPr>
      <xdr:spPr>
        <a:xfrm>
          <a:off x="20052665" y="9098915"/>
          <a:ext cx="183070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       </a:t>
          </a:r>
          <a:r>
            <a:rPr lang="en-US" sz="1100" b="1"/>
            <a:t>  </a:t>
          </a:r>
          <a:r>
            <a:rPr lang="en-US" sz="1200" b="1">
              <a:solidFill>
                <a:schemeClr val="bg1"/>
              </a:solidFill>
            </a:rPr>
            <a:t>Filter By Node</a:t>
          </a:r>
        </a:p>
      </xdr:txBody>
    </xdr:sp>
    <xdr:clientData/>
  </xdr:oneCellAnchor>
  <xdr:oneCellAnchor>
    <xdr:from>
      <xdr:col>0</xdr:col>
      <xdr:colOff>137795</xdr:colOff>
      <xdr:row>51</xdr:row>
      <xdr:rowOff>69215</xdr:rowOff>
    </xdr:from>
    <xdr:ext cx="16743680" cy="1522730"/>
    <xdr:sp macro="" textlink="">
      <xdr:nvSpPr>
        <xdr:cNvPr id="17" name="Text Box 16"/>
        <xdr:cNvSpPr txBox="1"/>
      </xdr:nvSpPr>
      <xdr:spPr>
        <a:xfrm>
          <a:off x="137795" y="11575415"/>
          <a:ext cx="16743680" cy="152273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▶ NVIDIA alone accounts for the majority of AI chip revenue in 2023–2024, growing ~5x from 2022, with the highest operating margin in the industry at 59.5%.</a:t>
          </a:r>
        </a:p>
        <a:p>
          <a:pPr algn="l"/>
          <a:endParaRPr lang="en-US" sz="1400" b="1">
            <a:solidFill>
              <a:schemeClr val="bg1"/>
            </a:solidFill>
          </a:endParaRPr>
        </a:p>
        <a:p>
          <a:pPr algn="l"/>
          <a:r>
            <a:rPr lang="en-US" sz="1400" b="1">
              <a:solidFill>
                <a:schemeClr val="bg1"/>
              </a:solidFill>
            </a:rPr>
            <a:t>▶ Taiwan (TSMC) dominates global leading-edge (3–5nm) fab capacity in 2024. China remains locked at mature nodes (28nm+) due to export control restrictions on EUV lithography tools.</a:t>
          </a:r>
        </a:p>
        <a:p>
          <a:pPr algn="l"/>
          <a:endParaRPr lang="en-US" sz="1400" b="1">
            <a:solidFill>
              <a:schemeClr val="bg1"/>
            </a:solidFill>
          </a:endParaRPr>
        </a:p>
        <a:p>
          <a:pPr algn="l"/>
          <a:r>
            <a:rPr lang="en-US" sz="1400" b="1">
              <a:solidFill>
                <a:schemeClr val="bg1"/>
              </a:solidFill>
            </a:rPr>
            <a:t>▶ The most severe semiconductor export controls occurred under Biden (Oct 2022, severity score 10), not Trump 1.0 — proving export controls are now a permanent geopolitical feature regardless of US administration.</a:t>
          </a:r>
        </a:p>
      </xdr:txBody>
    </xdr:sp>
    <xdr:clientData/>
  </xdr:oneCellAnchor>
  <xdr:oneCellAnchor>
    <xdr:from>
      <xdr:col>0</xdr:col>
      <xdr:colOff>23495</xdr:colOff>
      <xdr:row>51</xdr:row>
      <xdr:rowOff>99060</xdr:rowOff>
    </xdr:from>
    <xdr:ext cx="812165" cy="1492250"/>
    <xdr:sp macro="" textlink="">
      <xdr:nvSpPr>
        <xdr:cNvPr id="18" name="Text Box 17"/>
        <xdr:cNvSpPr txBox="1"/>
      </xdr:nvSpPr>
      <xdr:spPr>
        <a:xfrm>
          <a:off x="23495" y="11605260"/>
          <a:ext cx="812165" cy="14922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endParaRPr lang="en-US" sz="1100"/>
        </a:p>
      </xdr:txBody>
    </xdr:sp>
    <xdr:clientData/>
  </xdr:oneCellAnchor>
  <xdr:twoCellAnchor>
    <xdr:from>
      <xdr:col>0</xdr:col>
      <xdr:colOff>10795</xdr:colOff>
      <xdr:row>9</xdr:row>
      <xdr:rowOff>80645</xdr:rowOff>
    </xdr:from>
    <xdr:to>
      <xdr:col>9</xdr:col>
      <xdr:colOff>86360</xdr:colOff>
      <xdr:row>21</xdr:row>
      <xdr:rowOff>175895</xdr:rowOff>
    </xdr:to>
    <xdr:graphicFrame macro="">
      <xdr:nvGraphicFramePr>
        <xdr:cNvPr id="19" name="Chart 18" descr="7b0a202020202263686172745265734964223a202234363130333534220a7d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6</xdr:row>
      <xdr:rowOff>58420</xdr:rowOff>
    </xdr:from>
    <xdr:to>
      <xdr:col>7</xdr:col>
      <xdr:colOff>528955</xdr:colOff>
      <xdr:row>19</xdr:row>
      <xdr:rowOff>172720</xdr:rowOff>
    </xdr:to>
    <xdr:graphicFrame macro="">
      <xdr:nvGraphicFramePr>
        <xdr:cNvPr id="2" name="Chart 1" descr="7b0a202020202263686172745265734964223a202234363130333534220a7d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</xdr:colOff>
      <xdr:row>20</xdr:row>
      <xdr:rowOff>111760</xdr:rowOff>
    </xdr:from>
    <xdr:to>
      <xdr:col>8</xdr:col>
      <xdr:colOff>132080</xdr:colOff>
      <xdr:row>35</xdr:row>
      <xdr:rowOff>111760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205740</xdr:colOff>
      <xdr:row>36</xdr:row>
      <xdr:rowOff>93345</xdr:rowOff>
    </xdr:from>
    <xdr:to>
      <xdr:col>9</xdr:col>
      <xdr:colOff>162560</xdr:colOff>
      <xdr:row>52</xdr:row>
      <xdr:rowOff>10160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281940</xdr:colOff>
      <xdr:row>54</xdr:row>
      <xdr:rowOff>45085</xdr:rowOff>
    </xdr:from>
    <xdr:to>
      <xdr:col>12</xdr:col>
      <xdr:colOff>238125</xdr:colOff>
      <xdr:row>68</xdr:row>
      <xdr:rowOff>167640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579120</xdr:colOff>
      <xdr:row>71</xdr:row>
      <xdr:rowOff>63500</xdr:rowOff>
    </xdr:from>
    <xdr:to>
      <xdr:col>8</xdr:col>
      <xdr:colOff>528320</xdr:colOff>
      <xdr:row>86</xdr:row>
      <xdr:rowOff>63500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502920</xdr:colOff>
      <xdr:row>88</xdr:row>
      <xdr:rowOff>22860</xdr:rowOff>
    </xdr:from>
    <xdr:to>
      <xdr:col>8</xdr:col>
      <xdr:colOff>452120</xdr:colOff>
      <xdr:row>103</xdr:row>
      <xdr:rowOff>22860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01.089502314797" createdVersion="5" refreshedVersion="5" minRefreshableVersion="3" recordCount="120">
  <cacheSource type="worksheet">
    <worksheetSource name="Table2"/>
  </cacheSource>
  <cacheFields count="13">
    <cacheField name="Year" numFmtId="0">
      <sharedItems containsSemiMixedTypes="0" containsString="0" containsNumber="1" containsInteger="1" minValue="0" maxValue="2026" count="7">
        <n v="2020"/>
        <n v="2021"/>
        <n v="2022"/>
        <n v="2023"/>
        <n v="2024"/>
        <n v="2025"/>
        <n v="2026"/>
      </sharedItems>
    </cacheField>
    <cacheField name="Chip_Name" numFmtId="0">
      <sharedItems count="30">
        <s v="NVIDIA V100"/>
        <s v="NVIDIA A100"/>
        <s v="NVIDIA H100"/>
        <s v="NVIDIA H200"/>
        <s v="NVIDIA L40S"/>
        <s v="NVIDIA B200"/>
        <s v="NVIDIA GB200"/>
        <s v="NVIDIA B300"/>
        <s v="AMD MI250X"/>
        <s v="AMD MI300X"/>
        <s v="AMD MI325X"/>
        <s v="AMD MI350"/>
        <s v="Google TPU v3"/>
        <s v="Google TPU v4"/>
        <s v="Google TPU v5e"/>
        <s v="Google TPU v5p"/>
        <s v="Google TPU v6 Trillium"/>
        <s v="Google TPU v7"/>
        <s v="AWS Trainium2"/>
        <s v="AWS Inferentia2"/>
        <s v="Cerebras WSE-3"/>
        <s v="Groq LPU"/>
        <s v="SambaNova SN40L"/>
        <s v="Tenstorrent Blackhole"/>
        <s v="Huawei Ascend 910"/>
        <s v="Huawei Ascend 910B"/>
        <s v="Huawei Ascend 910C"/>
        <s v="Cambricon MLU370"/>
        <s v="Apple M4 (NPU)"/>
        <s v="Apple M5 (NPU)"/>
      </sharedItems>
    </cacheField>
    <cacheField name="Vendor" numFmtId="0">
      <sharedItems count="11">
        <s v="NVIDIA"/>
        <s v="AMD"/>
        <s v="Google"/>
        <s v="AWS"/>
        <s v="Cerebras"/>
        <s v="Groq"/>
        <s v="SambaNova"/>
        <s v="Tenstorrent"/>
        <s v="Huawei"/>
        <s v="Cambricon"/>
        <s v="Apple"/>
      </sharedItems>
    </cacheField>
    <cacheField name="Launch_Date" numFmtId="166">
      <sharedItems containsSemiMixedTypes="0" containsNonDate="0" containsDate="1" containsString="0" minDate="2017-05-10T00:00:00" maxDate="2025-12-15T00:00:00" count="27">
        <d v="2017-05-10T00:00:00"/>
        <d v="2020-05-14T00:00:00"/>
        <d v="2023-03-22T00:00:00"/>
        <d v="2024-04-15T00:00:00"/>
        <d v="2023-08-08T00:00:00"/>
        <d v="2024-10-30T00:00:00"/>
        <d v="2025-12-15T00:00:00"/>
        <d v="2021-11-08T00:00:00"/>
        <d v="2023-12-06T00:00:00"/>
        <d v="2024-10-10T00:00:00"/>
        <d v="2025-06-01T00:00:00"/>
        <d v="2018-05-08T00:00:00"/>
        <d v="2021-05-18T00:00:00"/>
        <d v="2023-08-29T00:00:00"/>
        <d v="2024-05-14T00:00:00"/>
        <d v="2025-12-01T00:00:00"/>
        <d v="2024-12-03T00:00:00"/>
        <d v="2022-12-15T00:00:00"/>
        <d v="2024-03-13T00:00:00"/>
        <d v="2024-02-19T00:00:00"/>
        <d v="2023-09-19T00:00:00"/>
        <d v="2024-08-26T00:00:00"/>
        <d v="2019-08-23T00:00:00"/>
        <d v="2024-09-15T00:00:00"/>
        <d v="2021-11-15T00:00:00"/>
        <d v="2024-05-07T00:00:00"/>
        <d v="2025-10-30T00:00:00"/>
      </sharedItems>
    </cacheField>
    <cacheField name="Memory_gb" numFmtId="0">
      <sharedItems containsSemiMixedTypes="0" containsString="0" containsNumber="1" containsInteger="1" minValue="0" maxValue="1500" count="16">
        <n v="32"/>
        <n v="40"/>
        <n v="80"/>
        <n v="141"/>
        <n v="48"/>
        <n v="192"/>
        <n v="384"/>
        <n v="288"/>
        <n v="128"/>
        <n v="256"/>
        <n v="16"/>
        <n v="96"/>
        <n v="64"/>
        <n v="0"/>
        <n v="230"/>
        <n v="1500"/>
      </sharedItems>
    </cacheField>
    <cacheField name="fp16_tflops" numFmtId="2">
      <sharedItems containsSemiMixedTypes="0" containsString="0" containsNumber="1" containsInteger="1" minValue="0" maxValue="5000" count="27">
        <n v="100"/>
        <n v="312"/>
        <n v="989"/>
        <n v="362"/>
        <n v="2250"/>
        <n v="5000"/>
        <n v="3500"/>
        <n v="383"/>
        <n v="1300"/>
        <n v="1850"/>
        <n v="123"/>
        <n v="275"/>
        <n v="197"/>
        <n v="459"/>
        <n v="926"/>
        <n v="1500"/>
        <n v="650"/>
        <n v="190"/>
        <n v="1250"/>
        <n v="750"/>
        <n v="510"/>
        <n v="745"/>
        <n v="256"/>
        <n v="512"/>
        <n v="800"/>
        <n v="38"/>
        <n v="60"/>
      </sharedItems>
    </cacheField>
    <cacheField name="tdp_watts" numFmtId="2">
      <sharedItems containsSemiMixedTypes="0" containsString="0" containsNumber="1" containsInteger="1" minValue="0" maxValue="23000" count="20">
        <n v="300"/>
        <n v="400"/>
        <n v="700"/>
        <n v="350"/>
        <n v="1000"/>
        <n v="2700"/>
        <n v="1400"/>
        <n v="500"/>
        <n v="750"/>
        <n v="220"/>
        <n v="170"/>
        <n v="200"/>
        <n v="175"/>
        <n v="23000"/>
        <n v="310"/>
        <n v="392"/>
        <n v="450"/>
        <n v="250"/>
        <n v="23"/>
        <n v="28"/>
      </sharedItems>
    </cacheField>
    <cacheField name="Estimated_shipments_units" numFmtId="2">
      <sharedItems containsSemiMixedTypes="0" containsString="0" containsNumber="1" containsInteger="1" minValue="0" maxValue="2466989" count="115">
        <n v="6128"/>
        <n v="2719"/>
        <n v="3098"/>
        <n v="2572"/>
        <n v="3437"/>
        <n v="2504"/>
        <n v="2873"/>
        <n v="32054"/>
        <n v="204990"/>
        <n v="145343"/>
        <n v="76814"/>
        <n v="28956"/>
        <n v="26870"/>
        <n v="32264"/>
        <n v="582977"/>
        <n v="2466989"/>
        <n v="1874943"/>
        <n v="1126912"/>
        <n v="115829"/>
        <n v="573022"/>
        <n v="487597"/>
        <n v="51592"/>
        <n v="327147"/>
        <n v="359171"/>
        <n v="120445"/>
        <n v="5165"/>
        <n v="126650"/>
        <n v="86084"/>
        <n v="2564"/>
        <n v="45968"/>
        <n v="40186"/>
        <n v="0"/>
        <n v="888"/>
        <n v="23"/>
        <n v="1030"/>
        <n v="713"/>
        <n v="354"/>
        <n v="122"/>
        <n v="159"/>
        <n v="414143"/>
        <n v="369849"/>
        <n v="162122"/>
        <n v="2651"/>
        <n v="52331"/>
        <n v="39454"/>
        <n v="138"/>
        <n v="1393"/>
        <n v="747"/>
        <n v="361"/>
        <n v="160"/>
        <n v="155"/>
        <n v="121"/>
        <n v="177"/>
        <n v="147"/>
        <n v="148"/>
        <n v="1195"/>
        <n v="878"/>
        <n v="330"/>
        <n v="195"/>
        <n v="165"/>
        <n v="59908"/>
        <n v="761631"/>
        <n v="491607"/>
        <n v="238991"/>
        <n v="272799"/>
        <n v="214821"/>
        <n v="100220"/>
        <n v="46633"/>
        <n v="305904"/>
        <n v="237500"/>
        <n v="801"/>
        <n v="67686"/>
        <n v="82503"/>
        <n v="182522"/>
        <n v="111438"/>
        <n v="66238"/>
        <n v="21199"/>
        <n v="228"/>
        <n v="1116"/>
        <n v="746"/>
        <n v="8709"/>
        <n v="25845"/>
        <n v="25084"/>
        <n v="258"/>
        <n v="3312"/>
        <n v="3199"/>
        <n v="1070"/>
        <n v="81"/>
        <n v="861"/>
        <n v="883"/>
        <n v="1077"/>
        <n v="812"/>
        <n v="337"/>
        <n v="168"/>
        <n v="124"/>
        <n v="178"/>
        <n v="230"/>
        <n v="31695"/>
        <n v="327421"/>
        <n v="222897"/>
        <n v="91465"/>
        <n v="3425"/>
        <n v="42439"/>
        <n v="32195"/>
        <n v="32"/>
        <n v="1041"/>
        <n v="846"/>
        <n v="381"/>
        <n v="146"/>
        <n v="173"/>
        <n v="174"/>
        <n v="1082"/>
        <n v="776"/>
        <n v="47"/>
        <n v="809"/>
      </sharedItems>
    </cacheField>
    <cacheField name="Estimated_asp_usd" numFmtId="2">
      <sharedItems containsSemiMixedTypes="0" containsString="0" containsNumber="1" containsInteger="1" minValue="0" maxValue="2500000" count="11">
        <n v="15000"/>
        <n v="30000"/>
        <n v="32000"/>
        <n v="35000"/>
        <n v="65000"/>
        <n v="40000"/>
        <n v="18000"/>
        <n v="22000"/>
        <n v="0"/>
        <n v="2500000"/>
        <n v="20000"/>
      </sharedItems>
    </cacheField>
    <cacheField name="Estimated_revenue_usd_m" numFmtId="2">
      <sharedItems containsSemiMixedTypes="0" containsString="0" containsNumber="1" minValue="0" maxValue="74009.7" count="100">
        <n v="91.9"/>
        <n v="40.799999999999997"/>
        <n v="46.5"/>
        <n v="38.6"/>
        <n v="51.6"/>
        <n v="37.6"/>
        <n v="43.1"/>
        <n v="480.8"/>
        <n v="3074.8"/>
        <n v="2180.1"/>
        <n v="1152.2"/>
        <n v="434.3"/>
        <n v="403.1"/>
        <n v="484"/>
        <n v="17489.3"/>
        <n v="74009.7"/>
        <n v="56248.3"/>
        <n v="33807.4"/>
        <n v="3706.5"/>
        <n v="18336.7"/>
        <n v="15603.1"/>
        <n v="773.9"/>
        <n v="4907.2"/>
        <n v="5387.6"/>
        <n v="1806.7"/>
        <n v="180.8"/>
        <n v="4432.8"/>
        <n v="3012.9"/>
        <n v="166.7"/>
        <n v="2987.9"/>
        <n v="2612.1"/>
        <n v="0"/>
        <n v="35.5"/>
        <n v="0.3"/>
        <n v="15.4"/>
        <n v="10.7"/>
        <n v="5.3"/>
        <n v="1.8"/>
        <n v="2.4"/>
        <n v="7454.6"/>
        <n v="6657.3"/>
        <n v="2918.2"/>
        <n v="58.3"/>
        <n v="1151.3"/>
        <n v="868"/>
        <n v="2.1"/>
        <n v="20.9"/>
        <n v="11.2"/>
        <n v="5.4"/>
        <n v="2.2999999999999998"/>
        <n v="2.7"/>
        <n v="2.2000000000000002"/>
        <n v="17.899999999999999"/>
        <n v="13.2"/>
        <n v="5"/>
        <n v="2.9"/>
        <n v="2.5"/>
        <n v="898.6"/>
        <n v="11424.5"/>
        <n v="7374.1"/>
        <n v="3584.9"/>
        <n v="12"/>
        <n v="1015.3"/>
        <n v="1237.5"/>
        <n v="2737.8"/>
        <n v="1671.6"/>
        <n v="993.6"/>
        <n v="318"/>
        <n v="570"/>
        <n v="2790"/>
        <n v="1865"/>
        <n v="130.6"/>
        <n v="387.7"/>
        <n v="376.3"/>
        <n v="3.9"/>
        <n v="49.7"/>
        <n v="48"/>
        <n v="16.100000000000001"/>
        <n v="1.2"/>
        <n v="12.9"/>
        <n v="16.2"/>
        <n v="12.2"/>
        <n v="5.0999999999999996"/>
        <n v="1.9"/>
        <n v="3.5"/>
        <n v="475.4"/>
        <n v="4911.3"/>
        <n v="3343.5"/>
        <n v="1372"/>
        <n v="68.5"/>
        <n v="848.8"/>
        <n v="643.9"/>
        <n v="0.5"/>
        <n v="15.6"/>
        <n v="12.7"/>
        <n v="5.7"/>
        <n v="2.6"/>
        <n v="11.6"/>
        <n v="0.7"/>
        <n v="12.1"/>
      </sharedItems>
    </cacheField>
    <cacheField name="description" numFmtId="0">
      <sharedItems count="30">
        <s v="Volta data center GPU"/>
        <s v="Ampere, ML training standard 2020-2022"/>
        <s v="Hopper, defined 2023-2024 AI boom"/>
        <s v="Hopper refresh, 141GB HBM3e"/>
        <s v="Ada Lovelace inference"/>
        <s v="Blackwell, GB200 dominant 2025"/>
        <s v="Blackwell superchip dual B200"/>
        <s v="Blackwell Ultra"/>
        <s v="CDNA2, used in Frontier supercomputer"/>
        <s v="CDNA3, primary H100 competitor"/>
        <s v="MI300X refresh"/>
        <s v="CDNA4 Blackwell competitor"/>
        <s v="Internal-only TPU"/>
        <s v="TPU v4 pod 4096 chips"/>
        <s v="Cost-efficient TPU"/>
        <s v="Production TPU"/>
        <s v="6th gen TPU"/>
        <s v="TPU v7 announcement"/>
        <s v="AWS custom training silicon"/>
        <s v="AWS custom inference"/>
        <s v="Wafer-scale 4 trillion transistors"/>
        <s v="Inference-optimized"/>
        <s v="Reconfigurable dataflow"/>
        <s v="RISC-V based"/>
        <s v="Initial Ascend, before sanctions"/>
        <s v="Domestic-supply chain"/>
        <s v="Latest Huawei, ~80% H100 performance"/>
        <s v="Chinese AI accelerator"/>
        <s v="Consumer NPU 38 TOPS"/>
        <s v="M5 NPU generation"/>
      </sharedItems>
    </cacheField>
    <cacheField name="Revenue Category" numFmtId="0">
      <sharedItems count="3">
        <s v="Low"/>
        <s v="Medium"/>
        <s v="High"/>
      </sharedItems>
    </cacheField>
    <cacheField name="Perf_Per_Watt" numFmtId="2">
      <sharedItems containsSemiMixedTypes="0" containsString="0" containsNumber="1" minValue="0" maxValue="5" count="27">
        <n v="0.33333333333333298"/>
        <n v="0.78"/>
        <n v="1.4128571428571399"/>
        <n v="1.03428571428571"/>
        <n v="2.25"/>
        <n v="1.8518518518518501"/>
        <n v="2.5"/>
        <n v="0.76600000000000001"/>
        <n v="1.7333333333333301"/>
        <n v="1.3"/>
        <n v="1.85"/>
        <n v="0.55909090909090897"/>
        <n v="1.6176470588235301"/>
        <n v="1.1588235294117599"/>
        <n v="2.7"/>
        <n v="4.63"/>
        <n v="5"/>
        <n v="1.0857142857142901"/>
        <n v="5.4347826086956499E-2"/>
        <n v="2.1428571428571401"/>
        <n v="1.7"/>
        <n v="2.4833333333333298"/>
        <n v="0.825806451612903"/>
        <n v="1.30612244897959"/>
        <n v="1.7777777777777799"/>
        <n v="1.024"/>
        <n v="1.6521739130434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01.092291666697" createdVersion="5" refreshedVersion="5" minRefreshableVersion="3" recordCount="617">
  <cacheSource type="worksheet">
    <worksheetSource name="Table1"/>
  </cacheSource>
  <cacheFields count="14">
    <cacheField name="Year" numFmtId="0">
      <sharedItems containsSemiMixedTypes="0" containsString="0" containsNumber="1" containsInteger="1" minValue="2010" maxValue="2026" count="17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Company_name" numFmtId="0">
      <sharedItems count="40">
        <s v="TSMC"/>
        <s v="Samsung Foundry"/>
        <s v="GlobalFoundries"/>
        <s v="UMC"/>
        <s v="SMIC"/>
        <s v="NVIDIA"/>
        <s v="AMD"/>
        <s v="Qualcomm"/>
        <s v="Broadcom"/>
        <s v="MediaTek"/>
        <s v="Marvell"/>
        <s v="Intel"/>
        <s v="Samsung Memory"/>
        <s v="SK Hynix"/>
        <s v="Micron"/>
        <s v="Texas Instruments"/>
        <s v="Analog Devices"/>
        <s v="Infineon"/>
        <s v="STMicroelectronics"/>
        <s v="NXP Semiconductors"/>
        <s v="Renesas"/>
        <s v="Microchip"/>
        <s v="Onsemi"/>
        <s v="ASML"/>
        <s v="Applied Materials"/>
        <s v="Lam Research"/>
        <s v="KLA"/>
        <s v="Tokyo Electron"/>
        <s v="SCREEN Holdings"/>
        <s v="Synopsys"/>
        <s v="Cadence"/>
        <s v="HiSilicon (Huawei)"/>
        <s v="Yangtze Memory (YMTC)"/>
        <s v="ChangXin Memory (CXMT)"/>
        <s v="Hua Hong"/>
        <s v="Cerebras Systems"/>
        <s v="Graphcore"/>
        <s v="Groq"/>
        <s v="SambaNova"/>
        <s v="Tenstorrent"/>
      </sharedItems>
    </cacheField>
    <cacheField name="Ticker" numFmtId="0">
      <sharedItems containsMixedTypes="1" containsNumber="1" containsInteger="1" count="39">
        <s v="TSM"/>
        <s v="005930"/>
        <s v="GFS"/>
        <s v="UMC"/>
        <s v="0981"/>
        <s v="NVDA"/>
        <s v="AMD"/>
        <s v="QCOM"/>
        <s v="AVGO"/>
        <n v="2454"/>
        <s v="MRVL"/>
        <s v="INTC"/>
        <s v="000660"/>
        <s v="MU"/>
        <s v="TXN"/>
        <s v="ADI"/>
        <s v="IFX"/>
        <s v="STM"/>
        <s v="NXPI"/>
        <n v="6723"/>
        <s v="MCHP"/>
        <s v="ON"/>
        <s v="ASML"/>
        <s v="AMAT"/>
        <s v="LRCX"/>
        <s v="KLAC"/>
        <n v="8035"/>
        <n v="7735"/>
        <s v="SNPS"/>
        <s v="CDNS"/>
        <s v="HUAWEI"/>
        <s v="YMTC"/>
        <s v="CXMT"/>
        <n v="1347"/>
        <s v="CRBR"/>
        <s v="GPHC"/>
        <s v="GROQ"/>
        <s v="SN"/>
        <s v="TNS"/>
      </sharedItems>
    </cacheField>
    <cacheField name="Country_iso3" numFmtId="0">
      <sharedItems count="9">
        <s v="TWN"/>
        <s v="KOR"/>
        <s v="USA"/>
        <s v="CHN"/>
        <s v="DEU"/>
        <s v="EUR"/>
        <s v="NLD"/>
        <s v="JPN"/>
        <s v="GBR"/>
      </sharedItems>
    </cacheField>
    <cacheField name="Segment" numFmtId="0">
      <sharedItems count="20">
        <s v="foundry"/>
        <s v="fabless_gpu"/>
        <s v="fabless_cpu_gpu"/>
        <s v="fabless_mobile"/>
        <s v="fabless_diversified"/>
        <s v="fabless_networking"/>
        <s v="idm_cpu"/>
        <s v="idm_memory"/>
        <s v="idm_analog"/>
        <s v="idm_automotive"/>
        <s v="idm_diversified"/>
        <s v="idm_micro"/>
        <s v="idm_power"/>
        <s v="equipment_litho"/>
        <s v="equipment_diversified"/>
        <s v="equipment_etch"/>
        <s v="equipment_inspection"/>
        <s v="equipment_cleaning"/>
        <s v="eda_software"/>
        <s v="fabless_ai"/>
      </sharedItems>
    </cacheField>
    <cacheField name="Revenue_usd_bn" numFmtId="0">
      <sharedItems containsSemiMixedTypes="0" containsString="0" containsNumber="1" minValue="0" maxValue="250.68" count="537">
        <n v="13.42"/>
        <n v="16.32"/>
        <n v="17.559999999999999"/>
        <n v="21.36"/>
        <n v="23.93"/>
        <n v="27.31"/>
        <n v="29.19"/>
        <n v="32.11"/>
        <n v="34.58"/>
        <n v="40.909999999999997"/>
        <n v="45.25"/>
        <n v="62.97"/>
        <n v="74.930000000000007"/>
        <n v="70.42"/>
        <n v="88.89"/>
        <n v="108.13"/>
        <n v="113.25"/>
        <n v="3.06"/>
        <n v="3.69"/>
        <n v="4.29"/>
        <n v="5.21"/>
        <n v="5.69"/>
        <n v="6.52"/>
        <n v="8.5500000000000007"/>
        <n v="10.38"/>
        <n v="12.1"/>
        <n v="12.78"/>
        <n v="14.49"/>
        <n v="16.46"/>
        <n v="18.03"/>
        <n v="12.36"/>
        <n v="18.09"/>
        <n v="20.43"/>
        <n v="21.77"/>
        <n v="3.59"/>
        <n v="3.66"/>
        <n v="3.99"/>
        <n v="4.42"/>
        <n v="4.6399999999999997"/>
        <n v="5.09"/>
        <n v="5.47"/>
        <n v="5.74"/>
        <n v="5.98"/>
        <n v="4.97"/>
        <n v="6.63"/>
        <n v="8"/>
        <n v="7.03"/>
        <n v="6.54"/>
        <n v="7.24"/>
        <n v="7.42"/>
        <n v="4.3499999999999996"/>
        <n v="4.32"/>
        <n v="4.62"/>
        <n v="4.5199999999999996"/>
        <n v="4.71"/>
        <n v="4.83"/>
        <n v="5.14"/>
        <n v="5.29"/>
        <n v="6.04"/>
        <n v="7.69"/>
        <n v="9.4"/>
        <n v="6.87"/>
        <n v="7.41"/>
        <n v="8.15"/>
        <n v="8.1300000000000008"/>
        <n v="1.62"/>
        <n v="1.83"/>
        <n v="1.86"/>
        <n v="1.84"/>
        <n v="2.0299999999999998"/>
        <n v="2.16"/>
        <n v="2.68"/>
        <n v="2.99"/>
        <n v="3.23"/>
        <n v="3.64"/>
        <n v="3.92"/>
        <n v="5.52"/>
        <n v="7.09"/>
        <n v="6.72"/>
        <n v="8.1999999999999993"/>
        <n v="10.28"/>
        <n v="11.94"/>
        <n v="3.43"/>
        <n v="3.75"/>
        <n v="3.95"/>
        <n v="4.6100000000000003"/>
        <n v="4.68"/>
        <n v="5.2"/>
        <n v="6.49"/>
        <n v="8.24"/>
        <n v="9.75"/>
        <n v="12.67"/>
        <n v="17.59"/>
        <n v="21.6"/>
        <n v="26.12"/>
        <n v="62.09"/>
        <n v="130.47999999999999"/>
        <n v="192.19"/>
        <n v="250.68"/>
        <n v="6.11"/>
        <n v="5.85"/>
        <n v="5.36"/>
        <n v="4.5"/>
        <n v="3.96"/>
        <n v="4.91"/>
        <n v="5.64"/>
        <n v="6.46"/>
        <n v="8.19"/>
        <n v="9.83"/>
        <n v="18.010000000000002"/>
        <n v="23"/>
        <n v="21.72"/>
        <n v="26.05"/>
        <n v="33.17"/>
        <n v="39.380000000000003"/>
        <n v="10.65"/>
        <n v="13.44"/>
        <n v="15.75"/>
        <n v="20.68"/>
        <n v="21.48"/>
        <n v="27.28"/>
        <n v="23.97"/>
        <n v="24.72"/>
        <n v="22.53"/>
        <n v="23.4"/>
        <n v="23.41"/>
        <n v="33.61"/>
        <n v="44.51"/>
        <n v="36.31"/>
        <n v="39.18"/>
        <n v="43.07"/>
        <n v="45.99"/>
        <n v="3.94"/>
        <n v="6.13"/>
        <n v="6.99"/>
        <n v="11.09"/>
        <n v="16.260000000000002"/>
        <n v="20.62"/>
        <n v="22.18"/>
        <n v="24.98"/>
        <n v="28.35"/>
        <n v="33.5"/>
        <n v="33.96"/>
        <n v="54.34"/>
        <n v="62.4"/>
        <n v="69.87"/>
        <n v="3.56"/>
        <n v="4.2300000000000004"/>
        <n v="4.8899999999999997"/>
        <n v="5.56"/>
        <n v="5.99"/>
        <n v="6.41"/>
        <n v="7"/>
        <n v="7.37"/>
        <n v="7.87"/>
        <n v="9.77"/>
        <n v="10.4"/>
        <n v="14.24"/>
        <n v="19.46"/>
        <n v="13.32"/>
        <n v="17.02"/>
        <n v="18.62"/>
        <n v="21.74"/>
        <n v="3.36"/>
        <n v="3.4"/>
        <n v="3.01"/>
        <n v="2.75"/>
        <n v="2.73"/>
        <n v="2.56"/>
        <n v="2.58"/>
        <n v="2.42"/>
        <n v="2.63"/>
        <n v="4.59"/>
        <n v="5.88"/>
        <n v="5.38"/>
        <n v="5.84"/>
        <n v="7.15"/>
        <n v="8.7200000000000006"/>
        <n v="44.33"/>
        <n v="45.66"/>
        <n v="50.66"/>
        <n v="50.78"/>
        <n v="50.47"/>
        <n v="52.71"/>
        <n v="61.27"/>
        <n v="66.180000000000007"/>
        <n v="66.06"/>
        <n v="73.31"/>
        <n v="79.56"/>
        <n v="72.13"/>
        <n v="64.11"/>
        <n v="53.91"/>
        <n v="54.42"/>
        <n v="57.44"/>
        <n v="59.79"/>
        <n v="31.08"/>
        <n v="32.71"/>
        <n v="34.69"/>
        <n v="36.29"/>
        <n v="39.06"/>
        <n v="38.92"/>
        <n v="52.14"/>
        <n v="63.85"/>
        <n v="75.95"/>
        <n v="74.27"/>
        <n v="64.28"/>
        <n v="69.3"/>
        <n v="75.7"/>
        <n v="50.38"/>
        <n v="74.790000000000006"/>
        <n v="83.84"/>
        <n v="94.46"/>
        <n v="10.61"/>
        <n v="11.58"/>
        <n v="14.58"/>
        <n v="15.24"/>
        <n v="17.489999999999998"/>
        <n v="22.88"/>
        <n v="30.12"/>
        <n v="35.86"/>
        <n v="32.299999999999997"/>
        <n v="27.17"/>
        <n v="30.7"/>
        <n v="25.33"/>
        <n v="51.53"/>
        <n v="59.99"/>
        <n v="71.31"/>
        <n v="8.7799999999999994"/>
        <n v="10.039999999999999"/>
        <n v="11.66"/>
        <n v="13.16"/>
        <n v="14.64"/>
        <n v="15.83"/>
        <n v="20.41"/>
        <n v="26.52"/>
        <n v="30.14"/>
        <n v="25.66"/>
        <n v="20.260000000000002"/>
        <n v="24.59"/>
        <n v="32.090000000000003"/>
        <n v="15.17"/>
        <n v="22.96"/>
        <n v="33.93"/>
        <n v="37.369999999999997"/>
        <n v="13.26"/>
        <n v="13.76"/>
        <n v="13.87"/>
        <n v="13.63"/>
        <n v="13.54"/>
        <n v="12.63"/>
        <n v="14.5"/>
        <n v="15.51"/>
        <n v="16.5"/>
        <n v="15.27"/>
        <n v="14.34"/>
        <n v="19.079999999999998"/>
        <n v="17.22"/>
        <n v="14.89"/>
        <n v="16.64"/>
        <n v="19.14"/>
        <n v="2.88"/>
        <n v="3.02"/>
        <n v="3.17"/>
        <n v="3.24"/>
        <n v="3.33"/>
        <n v="3.39"/>
        <n v="4.24"/>
        <n v="5.07"/>
        <n v="6.19"/>
        <n v="5.91"/>
        <n v="5.75"/>
        <n v="8.76"/>
        <n v="12.2"/>
        <n v="11.78"/>
        <n v="9.4700000000000006"/>
        <n v="11.01"/>
        <n v="13.01"/>
        <n v="4.57"/>
        <n v="4.54"/>
        <n v="5.1100000000000003"/>
        <n v="6.56"/>
        <n v="8.0299999999999994"/>
        <n v="8.08"/>
        <n v="8.57"/>
        <n v="9.07"/>
        <n v="14.75"/>
        <n v="16.68"/>
        <n v="15.35"/>
        <n v="15.69"/>
        <n v="17.45"/>
        <n v="9.8699999999999992"/>
        <n v="9.41"/>
        <n v="9.17"/>
        <n v="8.17"/>
        <n v="7.56"/>
        <n v="7.06"/>
        <n v="7.98"/>
        <n v="8.6300000000000008"/>
        <n v="9.3000000000000007"/>
        <n v="10.39"/>
        <n v="10.08"/>
        <n v="13.03"/>
        <n v="16.010000000000002"/>
        <n v="17.600000000000001"/>
        <n v="12.72"/>
        <n v="15.85"/>
        <n v="16.329999999999998"/>
        <n v="4.4800000000000004"/>
        <n v="4.76"/>
        <n v="5.37"/>
        <n v="5.7"/>
        <n v="5.86"/>
        <n v="5.94"/>
        <n v="7.47"/>
        <n v="7.89"/>
        <n v="9.15"/>
        <n v="8.98"/>
        <n v="10.73"/>
        <n v="13.51"/>
        <n v="13.02"/>
        <n v="12.92"/>
        <n v="15.09"/>
        <n v="15.68"/>
        <n v="12.3"/>
        <n v="11.42"/>
        <n v="9.2200000000000006"/>
        <n v="7.07"/>
        <n v="7.2"/>
        <n v="6.83"/>
        <n v="6.53"/>
        <n v="6.62"/>
        <n v="6.82"/>
        <n v="8.5299999999999994"/>
        <n v="11.35"/>
        <n v="10.31"/>
        <n v="9.34"/>
        <n v="10.45"/>
        <n v="11.15"/>
        <n v="1.49"/>
        <n v="1.56"/>
        <n v="1.76"/>
        <n v="1.91"/>
        <n v="1.92"/>
        <n v="2.14"/>
        <n v="2.82"/>
        <n v="3.29"/>
        <n v="4.05"/>
        <n v="4.7300000000000004"/>
        <n v="5.34"/>
        <n v="7.01"/>
        <n v="7.83"/>
        <n v="4.2699999999999996"/>
        <n v="6.86"/>
        <n v="2.27"/>
        <n v="2.54"/>
        <n v="2.7"/>
        <n v="3.19"/>
        <n v="3.57"/>
        <n v="4.46"/>
        <n v="5.96"/>
        <n v="5.61"/>
        <n v="5.0999999999999996"/>
        <n v="7.16"/>
        <n v="8.36"/>
        <n v="8.3000000000000007"/>
        <n v="8.06"/>
        <n v="8.99"/>
        <n v="6.65"/>
        <n v="6.44"/>
        <n v="6.59"/>
        <n v="6.51"/>
        <n v="6.71"/>
        <n v="7.11"/>
        <n v="8.2100000000000009"/>
        <n v="12.38"/>
        <n v="13.65"/>
        <n v="16.170000000000002"/>
        <n v="20.79"/>
        <n v="23.9"/>
        <n v="30.31"/>
        <n v="31.81"/>
        <n v="38.79"/>
        <n v="44.16"/>
        <n v="9.39"/>
        <n v="9.56"/>
        <n v="9.32"/>
        <n v="9.1199999999999992"/>
        <n v="8.91"/>
        <n v="12.27"/>
        <n v="14.44"/>
        <n v="16.14"/>
        <n v="16.57"/>
        <n v="17.03"/>
        <n v="22.72"/>
        <n v="27.32"/>
        <n v="27.93"/>
        <n v="33.11"/>
        <n v="32.31"/>
        <n v="2.57"/>
        <n v="3.71"/>
        <n v="4.26"/>
        <n v="4.49"/>
        <n v="5.15"/>
        <n v="7.22"/>
        <n v="10.66"/>
        <n v="10.37"/>
        <n v="13.9"/>
        <n v="16.25"/>
        <n v="17.39"/>
        <n v="14.85"/>
        <n v="17.07"/>
        <n v="18.38"/>
        <n v="1.74"/>
        <n v="2.08"/>
        <n v="2.04"/>
        <n v="2.34"/>
        <n v="2.77"/>
        <n v="3.14"/>
        <n v="3.65"/>
        <n v="4.88"/>
        <n v="7.45"/>
        <n v="10.27"/>
        <n v="9.9600000000000009"/>
        <n v="11.74"/>
        <n v="13.57"/>
        <n v="6.88"/>
        <n v="6.28"/>
        <n v="6.1"/>
        <n v="5.79"/>
        <n v="5.53"/>
        <n v="5.26"/>
        <n v="7.3"/>
        <n v="9.6300000000000008"/>
        <n v="11.41"/>
        <n v="10.82"/>
        <n v="13.79"/>
        <n v="16.54"/>
        <n v="14.63"/>
        <n v="13.64"/>
        <n v="16.62"/>
        <n v="1.97"/>
        <n v="2.1"/>
        <n v="2.31"/>
        <n v="2.23"/>
        <n v="2.5"/>
        <n v="2.98"/>
        <n v="2.78"/>
        <n v="2.72"/>
        <n v="3.2"/>
        <n v="4.03"/>
        <n v="4.22"/>
        <n v="1.34"/>
        <n v="1.55"/>
        <n v="1.77"/>
        <n v="1.98"/>
        <n v="2.25"/>
        <n v="2.5099999999999998"/>
        <n v="2.8"/>
        <n v="3.78"/>
        <n v="4.45"/>
        <n v="4.82"/>
        <n v="5.71"/>
        <n v="6.81"/>
        <n v="0.95"/>
        <n v="1.1100000000000001"/>
        <n v="1.17"/>
        <n v="1.31"/>
        <n v="1.81"/>
        <n v="1.94"/>
        <n v="2.46"/>
        <n v="2.62"/>
        <n v="3.22"/>
        <n v="3.52"/>
        <n v="4.47"/>
        <n v="4.96"/>
        <n v="5.72"/>
        <n v="0.96"/>
        <n v="1.61"/>
        <n v="2.21"/>
        <n v="2.79"/>
        <n v="3.35"/>
        <n v="5"/>
        <n v="6.61"/>
        <n v="7.46"/>
        <n v="9.19"/>
        <n v="10.7"/>
        <n v="6.76"/>
        <n v="10.53"/>
        <n v="11.51"/>
        <n v="0.1"/>
        <n v="0.28999999999999998"/>
        <n v="0.51"/>
        <n v="1.23"/>
        <n v="4.12"/>
        <n v="5.17"/>
        <n v="7.5"/>
        <n v="8.64"/>
        <n v="0.31"/>
        <n v="0.94"/>
        <n v="1.45"/>
        <n v="2.2599999999999998"/>
        <n v="3.1"/>
        <n v="4.04"/>
        <n v="5.87"/>
        <n v="6.96"/>
        <n v="0.63"/>
        <n v="0.62"/>
        <n v="0.65"/>
        <n v="0.68"/>
        <n v="0.7"/>
        <n v="0.76"/>
        <n v="0.88"/>
        <n v="0.85"/>
        <n v="0.93"/>
        <n v="0.97"/>
        <n v="1.78"/>
        <n v="2.3199999999999998"/>
        <n v="2.2000000000000002"/>
        <n v="0"/>
        <n v="0.22"/>
        <n v="0.3"/>
        <n v="0.77"/>
        <n v="1.64"/>
        <n v="2.4900000000000002"/>
        <n v="7.0000000000000007E-2"/>
        <n v="0.05"/>
        <n v="0.06"/>
        <n v="0.02"/>
        <n v="0.04"/>
        <n v="0.48"/>
        <n v="1.27"/>
        <n v="1.96"/>
        <n v="0.37"/>
        <n v="0.9"/>
        <n v="0.01"/>
        <n v="0.74"/>
        <n v="1.1599999999999999"/>
      </sharedItems>
    </cacheField>
    <cacheField name="Operating_margin_pct" numFmtId="0">
      <sharedItems containsSemiMixedTypes="0" containsString="0" containsNumber="1" minValue="3.3" maxValue="64.2" count="318">
        <n v="36.9"/>
        <n v="42.8"/>
        <n v="36.1"/>
        <n v="39.1"/>
        <n v="37.4"/>
        <n v="42.3"/>
        <n v="43.4"/>
        <n v="37.1"/>
        <n v="39.9"/>
        <n v="38"/>
        <n v="39.5"/>
        <n v="38.9"/>
        <n v="41.1"/>
        <n v="41.3"/>
        <n v="38.799999999999997"/>
        <n v="37.6"/>
        <n v="37.5"/>
        <n v="42"/>
        <n v="41.6"/>
        <n v="40.700000000000003"/>
        <n v="40.200000000000003"/>
        <n v="41.9"/>
        <n v="39"/>
        <n v="38.1"/>
        <n v="44.5"/>
        <n v="42.9"/>
        <n v="41.8"/>
        <n v="42.4"/>
        <n v="38.6"/>
        <n v="39.4"/>
        <n v="36.6"/>
        <n v="41.5"/>
        <n v="42.1"/>
        <n v="40.5"/>
        <n v="40"/>
        <n v="39.700000000000003"/>
        <n v="39.799999999999997"/>
        <n v="35.700000000000003"/>
        <n v="37"/>
        <n v="37.299999999999997"/>
        <n v="43.9"/>
        <n v="42.2"/>
        <n v="34.799999999999997"/>
        <n v="38.4"/>
        <n v="40.1"/>
        <n v="39.299999999999997"/>
        <n v="44.1"/>
        <n v="36.4"/>
        <n v="37.200000000000003"/>
        <n v="35.9"/>
        <n v="42.5"/>
        <n v="48.7"/>
        <n v="40.799999999999997"/>
        <n v="39.6"/>
        <n v="38.5"/>
        <n v="45.3"/>
        <n v="37.799999999999997"/>
        <n v="41.2"/>
        <n v="56.3"/>
        <n v="51.3"/>
        <n v="55.5"/>
        <n v="55.9"/>
        <n v="55.7"/>
        <n v="58.3"/>
        <n v="59.6"/>
        <n v="60"/>
        <n v="54.5"/>
        <n v="59.4"/>
        <n v="52.3"/>
        <n v="58.8"/>
        <n v="59.5"/>
        <n v="64.2"/>
        <n v="61.9"/>
        <n v="19.899999999999999"/>
        <n v="16.3"/>
        <n v="19"/>
        <n v="16"/>
        <n v="18.5"/>
        <n v="23"/>
        <n v="24"/>
        <n v="17.899999999999999"/>
        <n v="20.7"/>
        <n v="16.7"/>
        <n v="25.6"/>
        <n v="19.100000000000001"/>
        <n v="18.2"/>
        <n v="23.6"/>
        <n v="18"/>
        <n v="19.5"/>
        <n v="28.4"/>
        <n v="29.7"/>
        <n v="26.1"/>
        <n v="35.5"/>
        <n v="26.5"/>
        <n v="31"/>
        <n v="27"/>
        <n v="32.299999999999997"/>
        <n v="28.9"/>
        <n v="25.9"/>
        <n v="29.2"/>
        <n v="28.3"/>
        <n v="31.1"/>
        <n v="30"/>
        <n v="30.9"/>
        <n v="36.299999999999997"/>
        <n v="31.2"/>
        <n v="26.7"/>
        <n v="30.8"/>
        <n v="24.8"/>
        <n v="31.4"/>
        <n v="28.6"/>
        <n v="30.2"/>
        <n v="30.5"/>
        <n v="22.3"/>
        <n v="25.4"/>
        <n v="29"/>
        <n v="26.8"/>
        <n v="33.9"/>
        <n v="35.200000000000003"/>
        <n v="31.3"/>
        <n v="29.1"/>
        <n v="27.9"/>
        <n v="29.4"/>
        <n v="32.200000000000003"/>
        <n v="29.8"/>
        <n v="31.9"/>
        <n v="17"/>
        <n v="26.4"/>
        <n v="31.8"/>
        <n v="26.2"/>
        <n v="18.8"/>
        <n v="27.5"/>
        <n v="27.4"/>
        <n v="25.7"/>
        <n v="25.8"/>
        <n v="24.6"/>
        <n v="21.8"/>
        <n v="22.5"/>
        <n v="14"/>
        <n v="18.600000000000001"/>
        <n v="23.9"/>
        <n v="16.2"/>
        <n v="17.600000000000001"/>
        <n v="21.6"/>
        <n v="15.8"/>
        <n v="20.2"/>
        <n v="21.4"/>
        <n v="20.399999999999999"/>
        <n v="7.9"/>
        <n v="10.6"/>
        <n v="8.8000000000000007"/>
        <n v="9.1999999999999993"/>
        <n v="12.5"/>
        <n v="16.100000000000001"/>
        <n v="13.6"/>
        <n v="15"/>
        <n v="18.3"/>
        <n v="16.600000000000001"/>
        <n v="20.6"/>
        <n v="40.9"/>
        <n v="41.4"/>
        <n v="33.1"/>
        <n v="23.3"/>
        <n v="19.3"/>
        <n v="10.4"/>
        <n v="11.2"/>
        <n v="12.1"/>
        <n v="20.5"/>
        <n v="19.600000000000001"/>
        <n v="33.299999999999997"/>
        <n v="32.799999999999997"/>
        <n v="22.2"/>
        <n v="28.8"/>
        <n v="24.7"/>
        <n v="17.3"/>
        <n v="16.5"/>
        <n v="22.7"/>
        <n v="15.7"/>
        <n v="11.7"/>
        <n v="10.5"/>
        <n v="15.5"/>
        <n v="21.2"/>
        <n v="19.8"/>
        <n v="44.7"/>
        <n v="46"/>
        <n v="49.9"/>
        <n v="44.4"/>
        <n v="43.7"/>
        <n v="45.4"/>
        <n v="49.7"/>
        <n v="46.4"/>
        <n v="46.9"/>
        <n v="48.4"/>
        <n v="42.6"/>
        <n v="47"/>
        <n v="46.7"/>
        <n v="51.1"/>
        <n v="42.7"/>
        <n v="47.2"/>
        <n v="43"/>
        <n v="45.6"/>
        <n v="44.8"/>
        <n v="40.6"/>
        <n v="21.1"/>
        <n v="16.8"/>
        <n v="26"/>
        <n v="17.5"/>
        <n v="18.7"/>
        <n v="22.4"/>
        <n v="14.7"/>
        <n v="18.100000000000001"/>
        <n v="11.6"/>
        <n v="21.3"/>
        <n v="24.4"/>
        <n v="20.100000000000001"/>
        <n v="18.399999999999999"/>
        <n v="24.1"/>
        <n v="12.8"/>
        <n v="27.6"/>
        <n v="14.2"/>
        <n v="22.1"/>
        <n v="14.8"/>
        <n v="21"/>
        <n v="14.9"/>
        <n v="12.3"/>
        <n v="20.8"/>
        <n v="6"/>
        <n v="21.9"/>
        <n v="24.5"/>
        <n v="13.2"/>
        <n v="17.7"/>
        <n v="17.100000000000001"/>
        <n v="19.399999999999999"/>
        <n v="20"/>
        <n v="43.6"/>
        <n v="34.4"/>
        <n v="26.3"/>
        <n v="26.9"/>
        <n v="37.700000000000003"/>
        <n v="34.5"/>
        <n v="36.200000000000003"/>
        <n v="34.6"/>
        <n v="38.200000000000003"/>
        <n v="35.1"/>
        <n v="31.7"/>
        <n v="38.299999999999997"/>
        <n v="33.5"/>
        <n v="30.7"/>
        <n v="26.6"/>
        <n v="34.299999999999997"/>
        <n v="23.7"/>
        <n v="30.1"/>
        <n v="29.6"/>
        <n v="22"/>
        <n v="34.700000000000003"/>
        <n v="27.3"/>
        <n v="32.6"/>
        <n v="32.9"/>
        <n v="28.5"/>
        <n v="32"/>
        <n v="30.3"/>
        <n v="32.5"/>
        <n v="29.9"/>
        <n v="29.3"/>
        <n v="38.700000000000003"/>
        <n v="34.9"/>
        <n v="43.1"/>
        <n v="35.4"/>
        <n v="40.299999999999997"/>
        <n v="46.2"/>
        <n v="36.799999999999997"/>
        <n v="43.5"/>
        <n v="35.6"/>
        <n v="32.700000000000003"/>
        <n v="33.6"/>
        <n v="19.7"/>
        <n v="15.9"/>
        <n v="17.8"/>
        <n v="16.899999999999999"/>
        <n v="15.4"/>
        <n v="41"/>
        <n v="40.4"/>
        <n v="44.3"/>
        <n v="35"/>
        <n v="39.200000000000003"/>
        <n v="47.3"/>
        <n v="33.4"/>
        <n v="25.2"/>
        <n v="29.5"/>
        <n v="24.2"/>
        <n v="31.6"/>
        <n v="23.4"/>
        <n v="33.700000000000003"/>
        <n v="33"/>
        <n v="8.9"/>
        <n v="5.5"/>
        <n v="7.4"/>
        <n v="4.3"/>
        <n v="7"/>
        <n v="5.2"/>
        <n v="11.3"/>
        <n v="12.6"/>
        <n v="11.9"/>
        <n v="5.9"/>
        <n v="11.1"/>
        <n v="9.6"/>
        <n v="13"/>
        <n v="7.2"/>
        <n v="6.8"/>
        <n v="8.5"/>
        <n v="9.6999999999999993"/>
        <n v="8"/>
        <n v="10.9"/>
        <n v="3.3"/>
        <n v="13.9"/>
        <n v="8.3000000000000007"/>
        <n v="6.6"/>
        <n v="10.3"/>
      </sharedItems>
    </cacheField>
    <cacheField name="Operating_income_usd_bn" numFmtId="0">
      <sharedItems containsSemiMixedTypes="0" containsString="0" containsNumber="1" minValue="0" maxValue="155.25" count="407">
        <n v="4.95"/>
        <n v="6.99"/>
        <n v="6.34"/>
        <n v="8.34"/>
        <n v="8.9600000000000009"/>
        <n v="11.56"/>
        <n v="12.66"/>
        <n v="12.02"/>
        <n v="12.84"/>
        <n v="16.3"/>
        <n v="17.18"/>
        <n v="24.9"/>
        <n v="29.18"/>
        <n v="28.94"/>
        <n v="36.71"/>
        <n v="41.93"/>
        <n v="42.53"/>
        <n v="1.33"/>
        <n v="1.38"/>
        <n v="1.8"/>
        <n v="2.17"/>
        <n v="2.31"/>
        <n v="2.65"/>
        <n v="3.48"/>
        <n v="4.17"/>
        <n v="5.07"/>
        <n v="4.99"/>
        <n v="5.52"/>
        <n v="7.32"/>
        <n v="7.73"/>
        <n v="4.82"/>
        <n v="7.55"/>
        <n v="8.66"/>
        <n v="8.41"/>
        <n v="1.42"/>
        <n v="1.34"/>
        <n v="1.65"/>
        <n v="1.86"/>
        <n v="1.88"/>
        <n v="1.99"/>
        <n v="2.08"/>
        <n v="2.23"/>
        <n v="2.48"/>
        <n v="2.19"/>
        <n v="2.06"/>
        <n v="2.63"/>
        <n v="3.18"/>
        <n v="2.5099999999999998"/>
        <n v="2.42"/>
        <n v="2.7"/>
        <n v="3.26"/>
        <n v="1.84"/>
        <n v="1.7"/>
        <n v="1.61"/>
        <n v="1.81"/>
        <n v="1.94"/>
        <n v="2.02"/>
        <n v="2.14"/>
        <n v="2.66"/>
        <n v="3.16"/>
        <n v="3.43"/>
        <n v="2.56"/>
        <n v="3.21"/>
        <n v="3.01"/>
        <n v="0.69"/>
        <n v="0.89"/>
        <n v="0.75"/>
        <n v="0.79"/>
        <n v="0.85"/>
        <n v="1.0900000000000001"/>
        <n v="1.1000000000000001"/>
        <n v="1.25"/>
        <n v="1.68"/>
        <n v="2.0099999999999998"/>
        <n v="2.68"/>
        <n v="2.52"/>
        <n v="3.06"/>
        <n v="4.2300000000000004"/>
        <n v="4.76"/>
        <n v="1.93"/>
        <n v="1.92"/>
        <n v="2.62"/>
        <n v="2.89"/>
        <n v="3.78"/>
        <n v="4.91"/>
        <n v="5.01"/>
        <n v="7.6"/>
        <n v="9.58"/>
        <n v="12.83"/>
        <n v="13.66"/>
        <n v="36.520000000000003"/>
        <n v="77.650000000000006"/>
        <n v="123.43"/>
        <n v="155.25"/>
        <n v="1.21"/>
        <n v="0.96"/>
        <n v="1.02"/>
        <n v="0.82"/>
        <n v="0.84"/>
        <n v="0.91"/>
        <n v="1.18"/>
        <n v="1.01"/>
        <n v="1.37"/>
        <n v="2.0299999999999998"/>
        <n v="4.62"/>
        <n v="4.4000000000000004"/>
        <n v="3.96"/>
        <n v="6.15"/>
        <n v="5.98"/>
        <n v="7.68"/>
        <n v="3.03"/>
        <n v="3.99"/>
        <n v="4.03"/>
        <n v="5.41"/>
        <n v="7.63"/>
        <n v="7.22"/>
        <n v="7.44"/>
        <n v="6.68"/>
        <n v="7.29"/>
        <n v="6.76"/>
        <n v="6.06"/>
        <n v="9.81"/>
        <n v="12.61"/>
        <n v="8.3699999999999992"/>
        <n v="12.17"/>
        <n v="12.92"/>
        <n v="14.23"/>
        <n v="1.23"/>
        <n v="1.52"/>
        <n v="3.17"/>
        <n v="4.9000000000000004"/>
        <n v="6.12"/>
        <n v="5.57"/>
        <n v="8.65"/>
        <n v="9.68"/>
        <n v="10.52"/>
        <n v="13.8"/>
        <n v="18.100000000000001"/>
        <n v="18.75"/>
        <n v="1.49"/>
        <n v="1.53"/>
        <n v="1.74"/>
        <n v="1.79"/>
        <n v="1.85"/>
        <n v="2.54"/>
        <n v="3.14"/>
        <n v="3.1"/>
        <n v="4.05"/>
        <n v="6.21"/>
        <n v="2.2599999999999998"/>
        <n v="4.4800000000000004"/>
        <n v="5.76"/>
        <n v="6.92"/>
        <n v="0.87"/>
        <n v="0.9"/>
        <n v="0.64"/>
        <n v="0.8"/>
        <n v="0.81"/>
        <n v="0.7"/>
        <n v="0.66"/>
        <n v="0.62"/>
        <n v="0.65"/>
        <n v="0.78"/>
        <n v="1"/>
        <n v="1.73"/>
        <n v="2.0699999999999998"/>
        <n v="2.4"/>
        <n v="11.96"/>
        <n v="6.39"/>
        <n v="9.44"/>
        <n v="12.15"/>
        <n v="8.1999999999999993"/>
        <n v="9.2899999999999991"/>
        <n v="13.22"/>
        <n v="10.43"/>
        <n v="13.32"/>
        <n v="15.67"/>
        <n v="16.239999999999998"/>
        <n v="14.92"/>
        <n v="5.0599999999999996"/>
        <n v="5.71"/>
        <n v="4.8"/>
        <n v="5.29"/>
        <n v="7.47"/>
        <n v="5"/>
        <n v="2.57"/>
        <n v="4.72"/>
        <n v="3.85"/>
        <n v="5.86"/>
        <n v="7.12"/>
        <n v="8.68"/>
        <n v="13.13"/>
        <n v="22.61"/>
        <n v="30.39"/>
        <n v="25.81"/>
        <n v="28.7"/>
        <n v="25.09"/>
        <n v="11.75"/>
        <n v="20.059999999999999"/>
        <n v="21.3"/>
        <n v="18.28"/>
        <n v="1.63"/>
        <n v="3.58"/>
        <n v="4.49"/>
        <n v="6.77"/>
        <n v="11.03"/>
        <n v="10.74"/>
        <n v="8.9"/>
        <n v="11.86"/>
        <n v="15.42"/>
        <n v="5.63"/>
        <n v="14.84"/>
        <n v="14.8"/>
        <n v="12.37"/>
        <n v="1.45"/>
        <n v="2.2799999999999998"/>
        <n v="1.83"/>
        <n v="1.55"/>
        <n v="1.54"/>
        <n v="2.46"/>
        <n v="4.32"/>
        <n v="9.7100000000000009"/>
        <n v="9.9"/>
        <n v="7.69"/>
        <n v="8.73"/>
        <n v="13.26"/>
        <n v="3.13"/>
        <n v="6.52"/>
        <n v="8.6300000000000008"/>
        <n v="7.38"/>
        <n v="5.85"/>
        <n v="6.16"/>
        <n v="6.38"/>
        <n v="6.75"/>
        <n v="5.35"/>
        <n v="6.44"/>
        <n v="7.49"/>
        <n v="7.59"/>
        <n v="6.05"/>
        <n v="7.89"/>
        <n v="8.9499999999999993"/>
        <n v="6.35"/>
        <n v="7.07"/>
        <n v="8.51"/>
        <n v="1.28"/>
        <n v="1.27"/>
        <n v="1.51"/>
        <n v="1.78"/>
        <n v="2.15"/>
        <n v="2.85"/>
        <n v="2.72"/>
        <n v="3.77"/>
        <n v="5.56"/>
        <n v="5.28"/>
        <n v="4.01"/>
        <n v="0.86"/>
        <n v="1.44"/>
        <n v="0.97"/>
        <n v="1.5"/>
        <n v="1.36"/>
        <n v="2.67"/>
        <n v="3.28"/>
        <n v="3.39"/>
        <n v="3.61"/>
        <n v="2.11"/>
        <n v="1.9"/>
        <n v="1.47"/>
        <n v="1.19"/>
        <n v="2.87"/>
        <n v="1.43"/>
        <n v="2.4900000000000002"/>
        <n v="3.8"/>
        <n v="2.81"/>
        <n v="3.25"/>
        <n v="3.2"/>
        <n v="1.05"/>
        <n v="0.95"/>
        <n v="1.22"/>
        <n v="1.57"/>
        <n v="1.76"/>
        <n v="1.32"/>
        <n v="2.69"/>
        <n v="1.48"/>
        <n v="1.1200000000000001"/>
        <n v="1.31"/>
        <n v="1.69"/>
        <n v="1.2"/>
        <n v="2.0499999999999998"/>
        <n v="0.54"/>
        <n v="0.83"/>
        <n v="0.68"/>
        <n v="2.16"/>
        <n v="2.97"/>
        <n v="3.41"/>
        <n v="2.34"/>
        <n v="0.51"/>
        <n v="0.61"/>
        <n v="0.94"/>
        <n v="1.4"/>
        <n v="1.17"/>
        <n v="2.4300000000000002"/>
        <n v="2.13"/>
        <n v="2.2999999999999998"/>
        <n v="2.27"/>
        <n v="2.25"/>
        <n v="2.1"/>
        <n v="2.84"/>
        <n v="4.0599999999999996"/>
        <n v="4.3499999999999996"/>
        <n v="4.33"/>
        <n v="5.84"/>
        <n v="7.96"/>
        <n v="10.81"/>
        <n v="10.58"/>
        <n v="12.99"/>
        <n v="15.87"/>
        <n v="2.88"/>
        <n v="2.79"/>
        <n v="4.66"/>
        <n v="4.53"/>
        <n v="6.59"/>
        <n v="8.2200000000000006"/>
        <n v="8.3000000000000007"/>
        <n v="8.49"/>
        <n v="10.78"/>
        <n v="10.63"/>
        <n v="0.73"/>
        <n v="1.1100000000000001"/>
        <n v="2.1800000000000002"/>
        <n v="2.92"/>
        <n v="3.07"/>
        <n v="4.2"/>
        <n v="3.92"/>
        <n v="5.0999999999999996"/>
        <n v="4.4400000000000004"/>
        <n v="5.6"/>
        <n v="4.87"/>
        <n v="0.71"/>
        <n v="1.03"/>
        <n v="1.29"/>
        <n v="5.64"/>
        <n v="1.67"/>
        <n v="1.72"/>
        <n v="1.59"/>
        <n v="2.29"/>
        <n v="3.37"/>
        <n v="3.62"/>
        <n v="3.22"/>
        <n v="3.72"/>
        <n v="4.5"/>
        <n v="2.99"/>
        <n v="5.21"/>
        <n v="0.3"/>
        <n v="0.45"/>
        <n v="0.53"/>
        <n v="0.47"/>
        <n v="0.44"/>
        <n v="0.4"/>
        <n v="0.48"/>
        <n v="0.6"/>
        <n v="0.55000000000000004"/>
        <n v="0.59"/>
        <n v="0.76"/>
        <n v="1.08"/>
        <n v="1.07"/>
        <n v="1.06"/>
        <n v="1.39"/>
        <n v="2"/>
        <n v="3.11"/>
        <n v="0.39"/>
        <n v="0.46"/>
        <n v="0.52"/>
        <n v="0.67"/>
        <n v="0.72"/>
        <n v="0.77"/>
        <n v="1.1299999999999999"/>
        <n v="1.3"/>
        <n v="1.95"/>
        <n v="2.71"/>
        <n v="0.33"/>
        <n v="0.5"/>
        <n v="1.97"/>
        <n v="2.3199999999999998"/>
        <n v="2.6"/>
        <n v="2.75"/>
        <n v="0.02"/>
        <n v="0.09"/>
        <n v="0.19"/>
        <n v="2.09"/>
        <n v="0.1"/>
        <n v="0.25"/>
        <n v="0.21"/>
        <n v="0.24"/>
        <n v="0.28999999999999998"/>
        <n v="0.28000000000000003"/>
        <n v="0.31"/>
        <n v="0.38"/>
        <n v="0.98"/>
        <n v="0"/>
        <n v="0.01"/>
        <n v="0.03"/>
        <n v="0.12"/>
        <n v="0.13"/>
        <n v="0.04"/>
        <n v="0.16"/>
        <n v="0.2"/>
        <n v="0.05"/>
      </sharedItems>
    </cacheField>
    <cacheField name="Rd_spend_usd_bn" numFmtId="0">
      <sharedItems containsSemiMixedTypes="0" containsString="0" containsNumber="1" minValue="0" maxValue="62.67" count="298">
        <n v="1.07"/>
        <n v="1.31"/>
        <n v="1.4"/>
        <n v="1.71"/>
        <n v="1.91"/>
        <n v="2.1800000000000002"/>
        <n v="2.34"/>
        <n v="2.57"/>
        <n v="2.77"/>
        <n v="3.27"/>
        <n v="3.62"/>
        <n v="5.04"/>
        <n v="5.99"/>
        <n v="5.63"/>
        <n v="7.11"/>
        <n v="8.65"/>
        <n v="9.06"/>
        <n v="0.24"/>
        <n v="0.28999999999999998"/>
        <n v="0.34"/>
        <n v="0.42"/>
        <n v="0.45"/>
        <n v="0.52"/>
        <n v="0.68"/>
        <n v="0.83"/>
        <n v="0.97"/>
        <n v="1.02"/>
        <n v="1.1599999999999999"/>
        <n v="1.32"/>
        <n v="1.44"/>
        <n v="0.99"/>
        <n v="1.45"/>
        <n v="1.63"/>
        <n v="1.74"/>
        <n v="0.32"/>
        <n v="0.35"/>
        <n v="0.37"/>
        <n v="0.41"/>
        <n v="0.44"/>
        <n v="0.46"/>
        <n v="0.48"/>
        <n v="0.4"/>
        <n v="0.53"/>
        <n v="0.64"/>
        <n v="0.56000000000000005"/>
        <n v="0.57999999999999996"/>
        <n v="0.59"/>
        <n v="0.36"/>
        <n v="0.38"/>
        <n v="0.39"/>
        <n v="0.62"/>
        <n v="0.75"/>
        <n v="0.55000000000000004"/>
        <n v="0.65"/>
        <n v="0.13"/>
        <n v="0.15"/>
        <n v="0.16"/>
        <n v="0.17"/>
        <n v="0.21"/>
        <n v="0.26"/>
        <n v="0.31"/>
        <n v="0.56999999999999995"/>
        <n v="0.54"/>
        <n v="0.66"/>
        <n v="0.82"/>
        <n v="0.96"/>
        <n v="0.86"/>
        <n v="0.94"/>
        <n v="1.1499999999999999"/>
        <n v="1.17"/>
        <n v="1.3"/>
        <n v="1.62"/>
        <n v="2.06"/>
        <n v="2.44"/>
        <n v="3.17"/>
        <n v="4.4000000000000004"/>
        <n v="5.4"/>
        <n v="6.53"/>
        <n v="15.52"/>
        <n v="32.619999999999997"/>
        <n v="48.05"/>
        <n v="62.67"/>
        <n v="1.22"/>
        <n v="1.03"/>
        <n v="0.9"/>
        <n v="0.79"/>
        <n v="0.98"/>
        <n v="1.1299999999999999"/>
        <n v="1.29"/>
        <n v="1.64"/>
        <n v="1.97"/>
        <n v="3.6"/>
        <n v="4.5999999999999996"/>
        <n v="4.34"/>
        <n v="5.21"/>
        <n v="6.63"/>
        <n v="7.88"/>
        <n v="1.28"/>
        <n v="1.61"/>
        <n v="1.89"/>
        <n v="2.48"/>
        <n v="2.58"/>
        <n v="2.88"/>
        <n v="2.97"/>
        <n v="2.7"/>
        <n v="2.81"/>
        <n v="4.03"/>
        <n v="5.34"/>
        <n v="4.3600000000000003"/>
        <n v="4.7"/>
        <n v="5.17"/>
        <n v="5.52"/>
        <n v="0.47"/>
        <n v="0.74"/>
        <n v="0.84"/>
        <n v="1.33"/>
        <n v="1.95"/>
        <n v="2.4700000000000002"/>
        <n v="2.66"/>
        <n v="3"/>
        <n v="3.4"/>
        <n v="4.0199999999999996"/>
        <n v="4.08"/>
        <n v="6.52"/>
        <n v="7.49"/>
        <n v="8.3800000000000008"/>
        <n v="0.43"/>
        <n v="0.51"/>
        <n v="0.67"/>
        <n v="0.72"/>
        <n v="0.77"/>
        <n v="0.88"/>
        <n v="1.25"/>
        <n v="1.6"/>
        <n v="2.04"/>
        <n v="2.23"/>
        <n v="2.61"/>
        <n v="0.33"/>
        <n v="0.71"/>
        <n v="0.7"/>
        <n v="1.05"/>
        <n v="8.8699999999999992"/>
        <n v="9.1300000000000008"/>
        <n v="10.130000000000001"/>
        <n v="10.16"/>
        <n v="10.09"/>
        <n v="10.54"/>
        <n v="12.25"/>
        <n v="13.24"/>
        <n v="13.21"/>
        <n v="14.66"/>
        <n v="15.91"/>
        <n v="14.43"/>
        <n v="12.82"/>
        <n v="10.78"/>
        <n v="10.88"/>
        <n v="11.49"/>
        <n v="11.96"/>
        <n v="3.11"/>
        <n v="3.47"/>
        <n v="3.63"/>
        <n v="3.91"/>
        <n v="3.89"/>
        <n v="6.39"/>
        <n v="7.59"/>
        <n v="7.43"/>
        <n v="6.43"/>
        <n v="6.93"/>
        <n v="7.57"/>
        <n v="7.48"/>
        <n v="9.4499999999999993"/>
        <n v="1.06"/>
        <n v="1.46"/>
        <n v="1.52"/>
        <n v="1.75"/>
        <n v="2.29"/>
        <n v="3.01"/>
        <n v="3.59"/>
        <n v="3.23"/>
        <n v="2.72"/>
        <n v="3.07"/>
        <n v="2.5299999999999998"/>
        <n v="5.15"/>
        <n v="6"/>
        <n v="7.13"/>
        <n v="1"/>
        <n v="1.58"/>
        <n v="2.65"/>
        <n v="2.0299999999999998"/>
        <n v="2.46"/>
        <n v="3.21"/>
        <n v="2.2999999999999998"/>
        <n v="3.39"/>
        <n v="3.74"/>
        <n v="1.59"/>
        <n v="1.65"/>
        <n v="1.66"/>
        <n v="1.86"/>
        <n v="1.98"/>
        <n v="1.83"/>
        <n v="1.72"/>
        <n v="2.0699999999999998"/>
        <n v="1.79"/>
        <n v="2"/>
        <n v="0.61"/>
        <n v="0.69"/>
        <n v="1.41"/>
        <n v="1.1399999999999999"/>
        <n v="1.56"/>
        <n v="0.73"/>
        <n v="1.0900000000000001"/>
        <n v="1.77"/>
        <n v="1.84"/>
        <n v="1.88"/>
        <n v="2.09"/>
        <n v="1.18"/>
        <n v="1.1000000000000001"/>
        <n v="0.91"/>
        <n v="0.85"/>
        <n v="1.04"/>
        <n v="1.1200000000000001"/>
        <n v="1.21"/>
        <n v="1.92"/>
        <n v="2.11"/>
        <n v="1.53"/>
        <n v="1.9"/>
        <n v="1.96"/>
        <n v="0.95"/>
        <n v="1.08"/>
        <n v="1.55"/>
        <n v="1.81"/>
        <n v="1.48"/>
        <n v="1.37"/>
        <n v="1.1100000000000001"/>
        <n v="0.78"/>
        <n v="1.36"/>
        <n v="1.24"/>
        <n v="1.34"/>
        <n v="0.18"/>
        <n v="0.19"/>
        <n v="0.23"/>
        <n v="0.49"/>
        <n v="0.27"/>
        <n v="0.3"/>
        <n v="0.63"/>
        <n v="1.7"/>
        <n v="2.59"/>
        <n v="3.33"/>
        <n v="3.82"/>
        <n v="4.8499999999999996"/>
        <n v="5.09"/>
        <n v="6.21"/>
        <n v="7.07"/>
        <n v="1.47"/>
        <n v="1.73"/>
        <n v="1.94"/>
        <n v="1.99"/>
        <n v="2.73"/>
        <n v="3.28"/>
        <n v="3.35"/>
        <n v="3.97"/>
        <n v="3.88"/>
        <n v="0.87"/>
        <n v="1.67"/>
        <n v="1.78"/>
        <n v="2.0499999999999998"/>
        <n v="2.21"/>
        <n v="0.25"/>
        <n v="0.28000000000000003"/>
        <n v="0.89"/>
        <n v="1.23"/>
        <n v="1.2"/>
        <n v="1.76"/>
        <n v="0.22"/>
        <n v="1.19"/>
        <n v="1.69"/>
        <n v="2.38"/>
        <n v="2.6"/>
        <n v="0.76"/>
        <n v="0.92"/>
        <n v="0.12"/>
        <n v="0.6"/>
        <n v="0.81"/>
        <n v="1.26"/>
        <n v="1.38"/>
        <n v="0.01"/>
        <n v="0.03"/>
        <n v="0.05"/>
        <n v="0.09"/>
        <n v="0.14000000000000001"/>
        <n v="0.06"/>
        <n v="7.0000000000000007E-2"/>
        <n v="0.08"/>
        <n v="0.2"/>
        <n v="0"/>
        <n v="0.11"/>
        <n v="0.02"/>
        <n v="0.04"/>
      </sharedItems>
    </cacheField>
    <cacheField name="Capex_usd_bn" numFmtId="0">
      <sharedItems containsSemiMixedTypes="0" containsString="0" containsNumber="1" minValue="0" maxValue="50.96" count="339">
        <n v="6.04"/>
        <n v="7.35"/>
        <n v="7.9"/>
        <n v="9.61"/>
        <n v="10.77"/>
        <n v="12.29"/>
        <n v="13.14"/>
        <n v="14.45"/>
        <n v="15.56"/>
        <n v="18.41"/>
        <n v="20.36"/>
        <n v="28.34"/>
        <n v="33.72"/>
        <n v="31.69"/>
        <n v="40"/>
        <n v="48.66"/>
        <n v="50.96"/>
        <n v="1.38"/>
        <n v="1.66"/>
        <n v="1.93"/>
        <n v="2.35"/>
        <n v="2.56"/>
        <n v="2.94"/>
        <n v="3.85"/>
        <n v="4.67"/>
        <n v="5.45"/>
        <n v="5.75"/>
        <n v="6.52"/>
        <n v="7.41"/>
        <n v="8.11"/>
        <n v="5.56"/>
        <n v="8.14"/>
        <n v="9.19"/>
        <n v="9.8000000000000007"/>
        <n v="1.62"/>
        <n v="1.65"/>
        <n v="1.79"/>
        <n v="1.99"/>
        <n v="2.09"/>
        <n v="2.29"/>
        <n v="2.46"/>
        <n v="2.58"/>
        <n v="2.69"/>
        <n v="2.2400000000000002"/>
        <n v="2.98"/>
        <n v="3.6"/>
        <n v="3.17"/>
        <n v="3.26"/>
        <n v="3.34"/>
        <n v="1.96"/>
        <n v="1.94"/>
        <n v="2.08"/>
        <n v="2.0299999999999998"/>
        <n v="2.12"/>
        <n v="2.1800000000000002"/>
        <n v="2.31"/>
        <n v="2.38"/>
        <n v="2.72"/>
        <n v="3.46"/>
        <n v="4.2300000000000004"/>
        <n v="3.09"/>
        <n v="3.67"/>
        <n v="3.66"/>
        <n v="0.73"/>
        <n v="0.82"/>
        <n v="0.84"/>
        <n v="0.83"/>
        <n v="0.91"/>
        <n v="0.97"/>
        <n v="1.21"/>
        <n v="1.34"/>
        <n v="1.46"/>
        <n v="1.64"/>
        <n v="1.76"/>
        <n v="2.48"/>
        <n v="3.19"/>
        <n v="3.02"/>
        <n v="3.69"/>
        <n v="4.63"/>
        <n v="5.37"/>
        <n v="7.0000000000000007E-2"/>
        <n v="0.08"/>
        <n v="0.09"/>
        <n v="0.1"/>
        <n v="0.13"/>
        <n v="0.16"/>
        <n v="0.2"/>
        <n v="0.25"/>
        <n v="0.35"/>
        <n v="0.43"/>
        <n v="0.52"/>
        <n v="1.24"/>
        <n v="2.61"/>
        <n v="3.84"/>
        <n v="5.01"/>
        <n v="0.61"/>
        <n v="0.59"/>
        <n v="0.54"/>
        <n v="0.51"/>
        <n v="0.45"/>
        <n v="0.4"/>
        <n v="0.49"/>
        <n v="0.56000000000000005"/>
        <n v="0.65"/>
        <n v="0.98"/>
        <n v="1.8"/>
        <n v="2.2999999999999998"/>
        <n v="2.17"/>
        <n v="2.6"/>
        <n v="3.32"/>
        <n v="3.94"/>
        <n v="1.07"/>
        <n v="1.57"/>
        <n v="2.0699999999999998"/>
        <n v="2.15"/>
        <n v="2.73"/>
        <n v="2.4"/>
        <n v="2.4700000000000002"/>
        <n v="2.25"/>
        <n v="2.34"/>
        <n v="3.36"/>
        <n v="4.45"/>
        <n v="3.63"/>
        <n v="3.92"/>
        <n v="4.3099999999999996"/>
        <n v="4.5999999999999996"/>
        <n v="0.3"/>
        <n v="0.39"/>
        <n v="0.44"/>
        <n v="0.55000000000000004"/>
        <n v="0.7"/>
        <n v="1.1100000000000001"/>
        <n v="1.63"/>
        <n v="2.06"/>
        <n v="2.2200000000000002"/>
        <n v="2.5"/>
        <n v="2.83"/>
        <n v="3.35"/>
        <n v="3.4"/>
        <n v="5.43"/>
        <n v="6.24"/>
        <n v="6.99"/>
        <n v="0.36"/>
        <n v="0.42"/>
        <n v="0.6"/>
        <n v="0.64"/>
        <n v="0.74"/>
        <n v="0.79"/>
        <n v="1.04"/>
        <n v="1.42"/>
        <n v="1.95"/>
        <n v="1.33"/>
        <n v="1.7"/>
        <n v="1.86"/>
        <n v="0.34"/>
        <n v="0.27"/>
        <n v="0.26"/>
        <n v="0.24"/>
        <n v="0.46"/>
        <n v="0.57999999999999996"/>
        <n v="0.72"/>
        <n v="0.87"/>
        <n v="11.08"/>
        <n v="11.41"/>
        <n v="12.67"/>
        <n v="12.7"/>
        <n v="12.62"/>
        <n v="13.18"/>
        <n v="15.32"/>
        <n v="16.54"/>
        <n v="16.510000000000002"/>
        <n v="18.329999999999998"/>
        <n v="19.89"/>
        <n v="18.03"/>
        <n v="16.03"/>
        <n v="13.48"/>
        <n v="13.61"/>
        <n v="14.36"/>
        <n v="14.95"/>
        <n v="10.88"/>
        <n v="11.45"/>
        <n v="12.14"/>
        <n v="13.67"/>
        <n v="13.62"/>
        <n v="18.25"/>
        <n v="22.35"/>
        <n v="26.58"/>
        <n v="25.99"/>
        <n v="22.5"/>
        <n v="24.26"/>
        <n v="26.5"/>
        <n v="17.63"/>
        <n v="26.18"/>
        <n v="29.34"/>
        <n v="33.06"/>
        <n v="3.72"/>
        <n v="4.05"/>
        <n v="4.66"/>
        <n v="5.0999999999999996"/>
        <n v="5.33"/>
        <n v="6.12"/>
        <n v="8.01"/>
        <n v="10.54"/>
        <n v="12.55"/>
        <n v="11.31"/>
        <n v="9.51"/>
        <n v="10.75"/>
        <n v="8.86"/>
        <n v="18.04"/>
        <n v="21"/>
        <n v="24.96"/>
        <n v="3.07"/>
        <n v="3.51"/>
        <n v="4.08"/>
        <n v="5.12"/>
        <n v="5.54"/>
        <n v="7.14"/>
        <n v="9.2799999999999994"/>
        <n v="10.55"/>
        <n v="8.98"/>
        <n v="7.09"/>
        <n v="8.61"/>
        <n v="11.23"/>
        <n v="5.31"/>
        <n v="8.0399999999999991"/>
        <n v="11.87"/>
        <n v="13.08"/>
        <n v="1.59"/>
        <n v="1.52"/>
        <n v="1.74"/>
        <n v="1.98"/>
        <n v="1.83"/>
        <n v="1.72"/>
        <n v="2.04"/>
        <n v="2"/>
        <n v="0.38"/>
        <n v="0.41"/>
        <n v="0.71"/>
        <n v="0.69"/>
        <n v="1.05"/>
        <n v="1.41"/>
        <n v="1.1399999999999999"/>
        <n v="1.32"/>
        <n v="1.56"/>
        <n v="0.68"/>
        <n v="0.77"/>
        <n v="1.2"/>
        <n v="1.28"/>
        <n v="1.36"/>
        <n v="1.77"/>
        <n v="2.21"/>
        <n v="2.62"/>
        <n v="0.99"/>
        <n v="0.94"/>
        <n v="0.92"/>
        <n v="0.76"/>
        <n v="0.8"/>
        <n v="0.86"/>
        <n v="0.93"/>
        <n v="1.01"/>
        <n v="1.3"/>
        <n v="1.6"/>
        <n v="1.27"/>
        <n v="1.58"/>
        <n v="0.67"/>
        <n v="0.81"/>
        <n v="0.85"/>
        <n v="0.88"/>
        <n v="0.89"/>
        <n v="1.1200000000000001"/>
        <n v="1.18"/>
        <n v="1.37"/>
        <n v="1.35"/>
        <n v="1.23"/>
        <n v="1.61"/>
        <n v="2.2599999999999998"/>
        <n v="1.84"/>
        <n v="1.71"/>
        <n v="1.48"/>
        <n v="1.06"/>
        <n v="1.08"/>
        <n v="1.02"/>
        <n v="1.55"/>
        <n v="1.4"/>
        <n v="1.67"/>
        <n v="0.15"/>
        <n v="0.18"/>
        <n v="0.19"/>
        <n v="0.21"/>
        <n v="0.28000000000000003"/>
        <n v="0.33"/>
        <n v="0.47"/>
        <n v="0.53"/>
        <n v="0.78"/>
        <n v="0.23"/>
        <n v="0.32"/>
        <n v="0.9"/>
        <n v="1.25"/>
        <n v="1.43"/>
        <n v="1.82"/>
        <n v="1.91"/>
        <n v="2.33"/>
        <n v="2.65"/>
        <n v="0.96"/>
        <n v="1.44"/>
        <n v="2.27"/>
        <n v="2.79"/>
        <n v="3.31"/>
        <n v="3.23"/>
        <n v="0.37"/>
        <n v="1.39"/>
        <n v="1.49"/>
        <n v="0.17"/>
        <n v="0.31"/>
        <n v="0.56999999999999995"/>
        <n v="1.03"/>
        <n v="1"/>
        <n v="1.17"/>
        <n v="0.63"/>
        <n v="0.22"/>
        <n v="0.01"/>
        <n v="0.02"/>
        <n v="0.03"/>
        <n v="0.04"/>
        <n v="0.05"/>
        <n v="0.06"/>
        <n v="0.5"/>
        <n v="0.66"/>
        <n v="0.75"/>
        <n v="1.1499999999999999"/>
        <n v="1.81"/>
        <n v="2.3199999999999998"/>
        <n v="0.11"/>
        <n v="1.0900000000000001"/>
        <n v="2.0499999999999998"/>
        <n v="2.44"/>
        <n v="0.28999999999999998"/>
        <n v="1.1299999999999999"/>
        <n v="0"/>
      </sharedItems>
    </cacheField>
    <cacheField name="Data_Type" numFmtId="0">
      <sharedItems count="2">
        <s v="Actual"/>
        <s v="Forecast"/>
      </sharedItems>
    </cacheField>
    <cacheField name="RD_Intensity_pct" numFmtId="0">
      <sharedItems containsSemiMixedTypes="0" containsString="0" containsNumber="1" minValue="0" maxValue="100" count="491">
        <n v="7.9731743666169903"/>
        <n v="8.0269607843137294"/>
        <n v="7.97266514806378"/>
        <n v="8.0056179775280896"/>
        <n v="7.9816130380275796"/>
        <n v="7.9824240205053103"/>
        <n v="8.0164439876670102"/>
        <n v="8.0037371535347202"/>
        <n v="8.0104106419895906"/>
        <n v="7.9931557076509403"/>
        <n v="8"/>
        <n v="8.0038113387327297"/>
        <n v="7.9941278526624897"/>
        <n v="7.9948878159613699"/>
        <n v="7.99865001687479"/>
        <n v="7.9996300749098301"/>
        <n v="7.8431372549019596"/>
        <n v="7.8590785907859102"/>
        <n v="7.9254079254079297"/>
        <n v="8.0614203454894398"/>
        <n v="7.9086115992970099"/>
        <n v="7.9754601226993902"/>
        <n v="7.9532163742690098"/>
        <n v="7.9961464354527898"/>
        <n v="8.0165289256198307"/>
        <n v="7.9812206572770004"/>
        <n v="8.0055210489993094"/>
        <n v="8.0194410692588107"/>
        <n v="7.9866888519134802"/>
        <n v="8.0097087378640808"/>
        <n v="8.0154781647318991"/>
        <n v="7.9784630445423401"/>
        <n v="7.9926504363803401"/>
        <n v="8.0779944289693599"/>
        <n v="7.9234972677595596"/>
        <n v="8.0200501253132792"/>
        <n v="7.9185520361990998"/>
        <n v="7.9741379310344804"/>
        <n v="8.0550098231827096"/>
        <n v="8.0438756855575893"/>
        <n v="8.0139372822299606"/>
        <n v="8.0267558528428093"/>
        <n v="8.04828973843059"/>
        <n v="7.9939668174962302"/>
        <n v="7.9658605974395398"/>
        <n v="7.9510703363914397"/>
        <n v="8.0110497237569103"/>
        <n v="7.9514824797843699"/>
        <n v="8.0459770114942497"/>
        <n v="8.1018518518518494"/>
        <n v="8.0086580086580099"/>
        <n v="7.9646017699114999"/>
        <n v="8.0679405520169905"/>
        <n v="8.0745341614906803"/>
        <n v="7.9766536964980501"/>
        <n v="7.9395085066162601"/>
        <n v="7.9470198675496704"/>
        <n v="8.0624187256176807"/>
        <n v="7.9787234042553203"/>
        <n v="8.0058224163027703"/>
        <n v="7.9622132253711202"/>
        <n v="7.9950799507995098"/>
        <n v="8.0246913580246897"/>
        <n v="8.1967213114754092"/>
        <n v="8.0645161290322598"/>
        <n v="8.1521739130434803"/>
        <n v="7.8817733990147802"/>
        <n v="7.8703703703703702"/>
        <n v="7.8358208955223896"/>
        <n v="8.0495356037151709"/>
        <n v="7.9670329670329698"/>
        <n v="7.9081632653061202"/>
        <n v="7.9710144927536204"/>
        <n v="8.0394922425952107"/>
        <n v="8.03571428571429"/>
        <n v="8.0487804878048799"/>
        <n v="8.0402010050251302"/>
        <n v="25.072886297376101"/>
        <n v="25.066666666666698"/>
        <n v="25.063291139240501"/>
        <n v="24.945770065075902"/>
        <n v="25"/>
        <n v="24.9614791987673"/>
        <n v="25.025641025641001"/>
        <n v="25.019731649565902"/>
        <n v="25.014212620807299"/>
        <n v="24.995973586728901"/>
        <n v="25.0013007960872"/>
        <n v="19.9672667757774"/>
        <n v="20"/>
        <n v="19.962686567164202"/>
        <n v="20.038910505836601"/>
        <n v="19.949494949495001"/>
        <n v="19.959266802443999"/>
        <n v="20.035460992907801"/>
        <n v="19.969040247677999"/>
        <n v="20.024420024419999"/>
        <n v="20.040691759918602"/>
        <n v="19.988895058300901"/>
        <n v="19.981583793738501"/>
        <n v="19.987940910461301"/>
        <n v="20.010157440324999"/>
        <n v="12.018779342723001"/>
        <n v="11.9791666666667"/>
        <n v="12"/>
        <n v="11.992263056092799"/>
        <n v="12.011173184357499"/>
        <n v="11.986803519061599"/>
        <n v="12.015018773466799"/>
        <n v="12.0145631067961"/>
        <n v="11.984021304926801"/>
        <n v="12.008547008547"/>
        <n v="12.0034173430158"/>
        <n v="11.990479024100001"/>
        <n v="11.9973039766345"/>
        <n v="12.0077113742771"/>
        <n v="11.9959162838183"/>
        <n v="12.003714882749"/>
        <n v="12.002609262883199"/>
        <n v="12.040133779264201"/>
        <n v="11.9289340101523"/>
        <n v="11.9909502262443"/>
        <n v="12.065813528336401"/>
        <n v="12.071778140293601"/>
        <n v="12.0171673819742"/>
        <n v="11.992786293958501"/>
        <n v="11.9926199261993"/>
        <n v="11.9786614936954"/>
        <n v="12.0096076861489"/>
        <n v="11.992945326278701"/>
        <n v="12.0141342756184"/>
        <n v="11.9985277880015"/>
        <n v="12.003205128205099"/>
        <n v="11.993702590525301"/>
        <n v="12.0786516853933"/>
        <n v="12.056737588652499"/>
        <n v="12.065439672801601"/>
        <n v="12.0503597122302"/>
        <n v="12.0200333889816"/>
        <n v="12.01248049922"/>
        <n v="11.9402985074627"/>
        <n v="11.9440914866582"/>
        <n v="11.975435005117699"/>
        <n v="12.0192307692308"/>
        <n v="12.008426966292101"/>
        <n v="12.024665981500499"/>
        <n v="12.012012012012001"/>
        <n v="11.9858989424207"/>
        <n v="11.9763694951665"/>
        <n v="12.0055197792088"/>
        <n v="11.9047619047619"/>
        <n v="11.9533527696793"/>
        <n v="12.0588235294118"/>
        <n v="11.960132890365401"/>
        <n v="12.0879120879121"/>
        <n v="12.109375"/>
        <n v="12.015503875968999"/>
        <n v="11.9834710743802"/>
        <n v="12.167300380228101"/>
        <n v="11.982570806100201"/>
        <n v="12.074829931972801"/>
        <n v="12.0817843866171"/>
        <n v="11.986301369863"/>
        <n v="12.027972027972"/>
        <n v="12.0412844036697"/>
        <n v="20.009023234829701"/>
        <n v="19.995619798510699"/>
        <n v="19.996052112120001"/>
        <n v="20.007877116975202"/>
        <n v="19.992074499702799"/>
        <n v="19.996205653576201"/>
        <n v="19.9934715195038"/>
        <n v="20.0060441220913"/>
        <n v="19.996972449288499"/>
        <n v="19.997271859227901"/>
        <n v="19.997486173956801"/>
        <n v="20.005545542770001"/>
        <n v="19.996880361877999"/>
        <n v="19.996290113151598"/>
        <n v="19.9926497611172"/>
        <n v="20.003481894150401"/>
        <n v="20.0033450409768"/>
        <n v="10.006435006435"/>
        <n v="9.9969428309385506"/>
        <n v="10.0028826751225"/>
        <n v="10.0027555800496"/>
        <n v="10.010240655401899"/>
        <n v="9.9948612538540598"/>
        <n v="9.9923283467587307"/>
        <n v="10.007830853563"/>
        <n v="9.9934167215273195"/>
        <n v="10.0040393160092"/>
        <n v="10.003111387678899"/>
        <n v="10"/>
        <n v="10.003969829297301"/>
        <n v="10.001337077149399"/>
        <n v="9.9952290076335899"/>
        <n v="10.004234596654699"/>
        <n v="9.9905749293119701"/>
        <n v="10.017271157167499"/>
        <n v="9.9849849849849903"/>
        <n v="10.013717421124801"/>
        <n v="9.9737532808398992"/>
        <n v="10.005717552887401"/>
        <n v="10.008741258741299"/>
        <n v="9.9933598937582993"/>
        <n v="10.011154489682101"/>
        <n v="10.011041589989"/>
        <n v="9.9881563363600492"/>
        <n v="9.9941781486512706"/>
        <n v="10.001666944490699"/>
        <n v="9.9985976721357499"/>
        <n v="10.022779043280201"/>
        <n v="9.9601593625498008"/>
        <n v="10.034305317324201"/>
        <n v="10.0303951367781"/>
        <n v="9.9726775956284204"/>
        <n v="9.9810486418193296"/>
        <n v="9.9951004409603108"/>
        <n v="9.9924585218702902"/>
        <n v="9.9867285998672894"/>
        <n v="10.015588464536201"/>
        <n v="10.0197433366239"/>
        <n v="10.004066693778"/>
        <n v="10.003116235587401"/>
        <n v="10.0197758734344"/>
        <n v="10.0174216027875"/>
        <n v="9.9911582670203405"/>
        <n v="10.00802782981"/>
        <n v="11.991279069767399"/>
        <n v="11.9682768565249"/>
        <n v="12.032281731474701"/>
        <n v="11.9645494830133"/>
        <n v="12.0348376880443"/>
        <n v="11.9842829076621"/>
        <n v="11.994421199442099"/>
        <n v="12.0020964360587"/>
        <n v="12.0209059233449"/>
        <n v="12.0214909335124"/>
        <n v="12.0167189132706"/>
        <n v="12.1527777777778"/>
        <n v="11.9205298013245"/>
        <n v="11.98738170347"/>
        <n v="12.037037037037001"/>
        <n v="12.094395280236"/>
        <n v="12.0283018867925"/>
        <n v="12.0315581854043"/>
        <n v="11.9547657512116"/>
        <n v="12.0135363790186"/>
        <n v="11.967213114754101"/>
        <n v="11.9694397283531"/>
        <n v="12.038014783526901"/>
        <n v="11.9891008174387"/>
        <n v="11.9907763259032"/>
        <n v="12.035010940918999"/>
        <n v="11.8942731277533"/>
        <n v="11.9373776908023"/>
        <n v="11.9565217391304"/>
        <n v="12.0860927152318"/>
        <n v="12.042682926829301"/>
        <n v="11.955168119551701"/>
        <n v="12.004950495049499"/>
        <n v="12.018669778296401"/>
        <n v="12.0176405733186"/>
        <n v="11.990407673860901"/>
        <n v="11.9869706840391"/>
        <n v="11.9821542383684"/>
        <n v="11.9770773638968"/>
        <n v="11.955420466058801"/>
        <n v="12.0085015940489"/>
        <n v="11.9956379498364"/>
        <n v="11.9951040391677"/>
        <n v="12.039660056657199"/>
        <n v="12.030075187969899"/>
        <n v="12.050984936268801"/>
        <n v="12.0430107526882"/>
        <n v="12.0307988450433"/>
        <n v="12.003968253968299"/>
        <n v="11.972371450498899"/>
        <n v="11.992504684572101"/>
        <n v="11.988636363636401"/>
        <n v="12.0024494794856"/>
        <n v="12.0535714285714"/>
        <n v="11.974789915966401"/>
        <n v="11.9180633147114"/>
        <n v="11.9298245614035"/>
        <n v="11.945392491467601"/>
        <n v="11.952861952861999"/>
        <n v="12.048192771084301"/>
        <n v="12.040557667934101"/>
        <n v="12.021857923497301"/>
        <n v="12.026726057906499"/>
        <n v="11.965811965812"/>
        <n v="12.022367194780999"/>
        <n v="11.9911176905996"/>
        <n v="11.9815668202765"/>
        <n v="11.996904024767799"/>
        <n v="11.9946984758118"/>
        <n v="11.9897959183673"/>
        <n v="12.032520325203301"/>
        <n v="11.996497373029801"/>
        <n v="12.0390455531453"/>
        <n v="12.022630834512"/>
        <n v="11.9444444444444"/>
        <n v="12.0058565153734"/>
        <n v="11.944869831546701"/>
        <n v="11.933534743202401"/>
        <n v="12.023460410557201"/>
        <n v="11.957796014068"/>
        <n v="11.982378854625599"/>
        <n v="12.0271580989331"/>
        <n v="11.9914346895075"/>
        <n v="11.9617224880383"/>
        <n v="12.0179372197309"/>
        <n v="12.0805369127517"/>
        <n v="12.1794871794872"/>
        <n v="11.931818181818199"/>
        <n v="12.0418848167539"/>
        <n v="12.1495327102804"/>
        <n v="11.854103343465001"/>
        <n v="12.0987654320988"/>
        <n v="12.050739957716701"/>
        <n v="11.9850187265918"/>
        <n v="11.982881597717499"/>
        <n v="12.005108556832701"/>
        <n v="11.943793911007001"/>
        <n v="11.8110236220472"/>
        <n v="11.851851851851899"/>
        <n v="11.912225705329201"/>
        <n v="12.0448179271709"/>
        <n v="12.1076233183857"/>
        <n v="12.0921305182342"/>
        <n v="11.9429590017825"/>
        <n v="11.960784313725499"/>
        <n v="11.9359534206696"/>
        <n v="12.0347394540943"/>
        <n v="12.0133481646274"/>
        <n v="15.9398496240602"/>
        <n v="15.9937888198758"/>
        <n v="15.933232169954501"/>
        <n v="15.9754224270353"/>
        <n v="15.946348733234"/>
        <n v="16.033755274261601"/>
        <n v="15.956151035322801"/>
        <n v="15.962441314554001"/>
        <n v="15.993537964458801"/>
        <n v="15.970695970695999"/>
        <n v="16.017316017315999"/>
        <n v="15.983263598326401"/>
        <n v="16.0013196964698"/>
        <n v="16.001257466205601"/>
        <n v="16.009280742459399"/>
        <n v="16.009963768115899"/>
        <n v="12.0340788072417"/>
        <n v="12.0292887029289"/>
        <n v="12.0171673819743"/>
        <n v="11.9517543859649"/>
        <n v="12.008978675645301"/>
        <n v="11.9804400977995"/>
        <n v="11.980609418282601"/>
        <n v="12.0198265179678"/>
        <n v="12.009656004828001"/>
        <n v="11.978860833822701"/>
        <n v="12.0158450704225"/>
        <n v="11.994271392767599"/>
        <n v="12.0102526547052"/>
        <n v="11.990335246149201"/>
        <n v="12.008666047663301"/>
        <n v="12.0622568093385"/>
        <n v="12.074303405572801"/>
        <n v="12.129380053908401"/>
        <n v="11.971830985915499"/>
        <n v="12.0388349514563"/>
        <n v="12.049861495844899"/>
        <n v="12.007504690431499"/>
        <n v="11.9575699132112"/>
        <n v="12.014388489208599"/>
        <n v="12.0184013801035"/>
        <n v="11.986531986532"/>
        <n v="12.009373169302901"/>
        <n v="12.023939064200199"/>
        <n v="12.0689655172414"/>
        <n v="11.764705882352899"/>
        <n v="11.913357400721999"/>
        <n v="12.101910828025501"/>
        <n v="12.054794520547899"/>
        <n v="12.090163934426201"/>
        <n v="11.9507908611599"/>
        <n v="11.9463087248322"/>
        <n v="11.976630963972701"/>
        <n v="12.0102214650767"/>
        <n v="12.011790714812101"/>
        <n v="12.0639534883721"/>
        <n v="11.9426751592357"/>
        <n v="11.917098445595901"/>
        <n v="11.9349005424955"/>
        <n v="11.977186311787101"/>
        <n v="12.0456905503634"/>
        <n v="12.0070113935145"/>
        <n v="12.014787430683899"/>
        <n v="11.9651921682379"/>
        <n v="12.031438935912901"/>
        <n v="11.973525872442799"/>
        <n v="11.8279569892473"/>
        <n v="12.1827411167513"/>
        <n v="12.1212121212121"/>
        <n v="11.870503597122299"/>
        <n v="12.132352941176499"/>
        <n v="11.875"/>
        <n v="11.910669975186099"/>
        <n v="12.085308056872"/>
        <n v="35.074626865671597"/>
        <n v="34.838709677419402"/>
        <n v="35.028248587570602"/>
        <n v="34.848484848484802"/>
        <n v="34.9753694581281"/>
        <n v="35.1111111111111"/>
        <n v="35.059760956175303"/>
        <n v="35"/>
        <n v="34.967320261437898"/>
        <n v="34.920634920634903"/>
        <n v="35.056179775280903"/>
        <n v="35.062240663900397"/>
        <n v="35.0262697022767"/>
        <n v="35.025380710659903"/>
        <n v="34.948604992657899"/>
        <n v="35.040431266846397"/>
        <n v="34.7368421052632"/>
        <n v="35.135135135135101"/>
        <n v="35.042735042735004"/>
        <n v="35.114503816793899"/>
        <n v="35.227272727272698"/>
        <n v="34.806629834254103"/>
        <n v="35.051546391752602"/>
        <n v="35.185185185185198"/>
        <n v="34.959349593495901"/>
        <n v="35.093167701863401"/>
        <n v="34.943181818181799"/>
        <n v="34.987593052109197"/>
        <n v="34.899328859060397"/>
        <n v="35.080645161290299"/>
        <n v="34.965034965035002"/>
        <n v="12.5"/>
        <n v="11.8012422360248"/>
        <n v="11.951588502269299"/>
        <n v="11.9302949061662"/>
        <n v="11.9695321001088"/>
        <n v="11.962616822429901"/>
        <n v="11.982248520710099"/>
        <n v="11.989574283232001"/>
        <n v="10.3448275862069"/>
        <n v="9.8039215686274499"/>
        <n v="9.7560975609756095"/>
        <n v="9.9514563106796103"/>
        <n v="10.058027079303701"/>
        <n v="9.9697885196374596"/>
        <n v="9.9537037037037006"/>
        <n v="9.67741935483871"/>
        <n v="9.5744680851063801"/>
        <n v="9.6551724137931103"/>
        <n v="10.1769911504425"/>
        <n v="9.9009900990098991"/>
        <n v="10.0591715976331"/>
        <n v="10.051107325383301"/>
        <n v="10.0574712643678"/>
        <n v="7.9365079365079403"/>
        <n v="7.6923076923076898"/>
        <n v="7.3529411764705896"/>
        <n v="8.5714285714285694"/>
        <n v="7.8947368421052602"/>
        <n v="7.9545454545454604"/>
        <n v="8.2352941176470598"/>
        <n v="7.5268817204301097"/>
        <n v="8.2474226804123703"/>
        <n v="7.8651685393258397"/>
        <n v="7.9681274900398398"/>
        <n v="8.18965517241379"/>
        <n v="8.1818181818181799"/>
        <n v="0"/>
        <n v="50"/>
        <n v="50.649350649350701"/>
        <n v="50.200803212851397"/>
        <n v="42.857142857142897"/>
        <n v="40"/>
        <n v="57.142857142857103"/>
        <n v="49.606299212598401"/>
        <n v="60"/>
        <n v="48.648648648648603"/>
        <n v="49.655172413793103"/>
        <n v="100"/>
        <n v="48.387096774193502"/>
      </sharedItems>
    </cacheField>
    <cacheField name="Capex_Intensity_pct" numFmtId="0">
      <sharedItems containsSemiMixedTypes="0" containsString="0" containsNumber="1" minValue="0" maxValue="45.714285714285701" count="523">
        <n v="45.0074515648286"/>
        <n v="45.036764705882398"/>
        <n v="44.988610478359902"/>
        <n v="44.990636704119801"/>
        <n v="45.006268282490602"/>
        <n v="45.001830831197402"/>
        <n v="45.015416238437801"/>
        <n v="45.001557147306102"/>
        <n v="44.997108155002898"/>
        <n v="45.001222195062297"/>
        <n v="44.994475138121601"/>
        <n v="45.005558202318603"/>
        <n v="45.002001868410503"/>
        <n v="45.001420051121798"/>
        <n v="44.999437507031203"/>
        <n v="45.001387219088102"/>
        <n v="44.997792494481203"/>
        <n v="45.098039215686299"/>
        <n v="44.986449864498603"/>
        <n v="44.988344988344998"/>
        <n v="45.105566218809997"/>
        <n v="44.991212653778597"/>
        <n v="45.092024539877301"/>
        <n v="45.029239766081901"/>
        <n v="44.990366088632001"/>
        <n v="45.041322314049602"/>
        <n v="44.992175273865399"/>
        <n v="44.996549344375403"/>
        <n v="45.018226002430097"/>
        <n v="44.980587909040501"/>
        <n v="44.983818770226499"/>
        <n v="44.997236042012197"/>
        <n v="44.982868330885999"/>
        <n v="45.016077170418001"/>
        <n v="45.125348189415099"/>
        <n v="45.081967213114801"/>
        <n v="44.862155388471201"/>
        <n v="45.022624434389101"/>
        <n v="45.0431034482759"/>
        <n v="44.990176817288798"/>
        <n v="44.9725776965265"/>
        <n v="44.947735191637598"/>
        <n v="44.983277591973199"/>
        <n v="45.0704225352113"/>
        <n v="44.947209653092003"/>
        <n v="45"/>
        <n v="45.092460881934599"/>
        <n v="44.954128440367001"/>
        <n v="45.027624309392301"/>
        <n v="45.013477088948797"/>
        <n v="45.057471264367798"/>
        <n v="44.907407407407398"/>
        <n v="45.021645021645"/>
        <n v="44.911504424778798"/>
        <n v="45.010615711252697"/>
        <n v="45.134575569358198"/>
        <n v="44.941634241245097"/>
        <n v="44.990548204158799"/>
        <n v="45.033112582781499"/>
        <n v="44.993498049414796"/>
        <n v="44.978165938864599"/>
        <n v="45.0742240215924"/>
        <n v="45.0306748466258"/>
        <n v="45.018450184501802"/>
        <n v="45.061728395061699"/>
        <n v="44.808743169398902"/>
        <n v="45.161290322580598"/>
        <n v="45.1086956521739"/>
        <n v="44.827586206896598"/>
        <n v="45.1492537313433"/>
        <n v="44.816053511705697"/>
        <n v="45.201238390092897"/>
        <n v="45.054945054945101"/>
        <n v="44.8979591836735"/>
        <n v="44.927536231884098"/>
        <n v="44.992947813822298"/>
        <n v="44.940476190476197"/>
        <n v="45.038910505836597"/>
        <n v="44.9748743718593"/>
        <n v="2.0408163265306101"/>
        <n v="1.86666666666667"/>
        <n v="2.0253164556962"/>
        <n v="1.9522776572668099"/>
        <n v="1.92307692307692"/>
        <n v="2.0030816640986102"/>
        <n v="1.94174757281553"/>
        <n v="2.0512820512820502"/>
        <n v="1.9731649565903699"/>
        <n v="1.9897669130187601"/>
        <n v="1.99074074074074"/>
        <n v="1.9908116385911201"/>
        <n v="1.99710098244484"/>
        <n v="2.0003065603924002"/>
        <n v="1.9980227899474501"/>
        <n v="1.9985639061752001"/>
        <n v="9.9836333878887107"/>
        <n v="10.085470085470099"/>
        <n v="10.0746268656716"/>
        <n v="9.9221789883268503"/>
        <n v="10"/>
        <n v="10.1010101010101"/>
        <n v="9.9796334012219905"/>
        <n v="9.9290780141843999"/>
        <n v="10.061919504644001"/>
        <n v="10.01221001221"/>
        <n v="9.9694811800610399"/>
        <n v="9.9944475291504702"/>
        <n v="9.9907918968692506"/>
        <n v="9.9808061420345506"/>
        <n v="10.0090443171541"/>
        <n v="10.0050787201625"/>
        <n v="10.0469483568075"/>
        <n v="9.9702380952381002"/>
        <n v="9.9682539682539701"/>
        <n v="10.009671179883901"/>
        <n v="10.0093109869646"/>
        <n v="10.007331378299099"/>
        <n v="10.0125156445557"/>
        <n v="9.9919093851132708"/>
        <n v="9.9866844207722991"/>
        <n v="9.9957283212302404"/>
        <n v="9.9970246950312394"/>
        <n v="9.9977533138620505"/>
        <n v="9.9972459377581906"/>
        <n v="10.005104645227201"/>
        <n v="10.0069654051544"/>
        <n v="10.002174385736"/>
        <n v="10.0334448160535"/>
        <n v="9.8984771573604107"/>
        <n v="9.9547511312217196"/>
        <n v="10.054844606947"/>
        <n v="9.9510603588907003"/>
        <n v="10.014306151645201"/>
        <n v="10.009017132551801"/>
        <n v="10.0246002460025"/>
        <n v="9.9903006789524706"/>
        <n v="10.0080064051241"/>
        <n v="9.9823633156966505"/>
        <n v="10.0117785630153"/>
        <n v="9.9926389400073603"/>
        <n v="10.004293688278199"/>
        <n v="10.1123595505618"/>
        <n v="10.020449897750501"/>
        <n v="10.071942446043201"/>
        <n v="10.016694490818001"/>
        <n v="9.9843993759750393"/>
        <n v="10.040705563093599"/>
        <n v="10.038119440914899"/>
        <n v="10.0307062436029"/>
        <n v="9.9719101123595504"/>
        <n v="10.0205549845838"/>
        <n v="9.9849849849849903"/>
        <n v="9.9882491186838998"/>
        <n v="9.9892588614393105"/>
        <n v="9.9816007359705594"/>
        <n v="10.119047619047601"/>
        <n v="9.9125364431486904"/>
        <n v="9.9667774086378706"/>
        <n v="9.8181818181818201"/>
        <n v="9.8901098901098905"/>
        <n v="10.15625"/>
        <n v="10.077519379845"/>
        <n v="9.9173553719008307"/>
        <n v="9.8859315589353596"/>
        <n v="10.0217864923747"/>
        <n v="10.034013605442199"/>
        <n v="10.037174721189601"/>
        <n v="9.9315068493150704"/>
        <n v="10.0699300699301"/>
        <n v="9.9770642201834896"/>
        <n v="24.994360478231499"/>
        <n v="24.989049496276799"/>
        <n v="25.009869719699999"/>
        <n v="25.009846396219"/>
        <n v="25.004953437685799"/>
        <n v="25.004742933029799"/>
        <n v="25.0040803003101"/>
        <n v="24.992444847385901"/>
        <n v="24.992431123221301"/>
        <n v="25.003410175965101"/>
        <n v="25"/>
        <n v="24.9965340357688"/>
        <n v="25.003899547652502"/>
        <n v="25.004637358560601"/>
        <n v="25.009187798603499"/>
        <n v="25.0041813012209"/>
        <n v="35.006435006434998"/>
        <n v="35.004585753592202"/>
        <n v="34.995675987316197"/>
        <n v="34.995866629925601"/>
        <n v="34.997439836149503"/>
        <n v="34.994861253854097"/>
        <n v="35.001917913310301"/>
        <n v="35.003915426781496"/>
        <n v="34.996708360763698"/>
        <n v="34.993941025986302"/>
        <n v="35.003111387678899"/>
        <n v="35.007215007215002"/>
        <n v="35.006605019815098"/>
        <n v="34.994045256054001"/>
        <n v="35.004679770022697"/>
        <n v="34.995229007633597"/>
        <n v="34.998941350836297"/>
        <n v="35.061262959472202"/>
        <n v="34.974093264248701"/>
        <n v="34.984984984984997"/>
        <n v="34.9794238683128"/>
        <n v="34.973753280839901"/>
        <n v="34.991423670669001"/>
        <n v="35.008741258741303"/>
        <n v="34.993359893758303"/>
        <n v="34.997211377579497"/>
        <n v="35.015479876161002"/>
        <n v="35.001840264998201"/>
        <n v="35.016286644951101"/>
        <n v="34.9782866166601"/>
        <n v="35.008732777023098"/>
        <n v="35.005834305717599"/>
        <n v="35.002103491796397"/>
        <n v="34.9658314350797"/>
        <n v="34.960159362549803"/>
        <n v="34.954407294832798"/>
        <n v="34.972677595628397"/>
        <n v="34.9968414403032"/>
        <n v="34.9828515433611"/>
        <n v="34.992458521870297"/>
        <n v="35.003317850033199"/>
        <n v="34.996102883865902"/>
        <n v="34.995064165843999"/>
        <n v="35.014233428222902"/>
        <n v="34.995325646618902"/>
        <n v="35.003295978905697"/>
        <n v="35.0174216027875"/>
        <n v="34.983790156203902"/>
        <n v="35.001337971635003"/>
        <n v="11.9909502262443"/>
        <n v="11.991279069767399"/>
        <n v="11.9682768565249"/>
        <n v="12.032281731474701"/>
        <n v="11.9645494830133"/>
        <n v="12.0348376880443"/>
        <n v="12"/>
        <n v="11.992263056092799"/>
        <n v="11.9842829076621"/>
        <n v="11.994421199442099"/>
        <n v="11.9858989424207"/>
        <n v="12.0020964360587"/>
        <n v="12.0209059233449"/>
        <n v="12.0214909335124"/>
        <n v="12.0192307692308"/>
        <n v="12.0167189132706"/>
        <n v="12.1527777777778"/>
        <n v="11.9205298013245"/>
        <n v="11.98738170347"/>
        <n v="12.037037037037001"/>
        <n v="12.012012012012001"/>
        <n v="12.094395280236"/>
        <n v="12.0283018867925"/>
        <n v="12.0315581854043"/>
        <n v="11.9547657512116"/>
        <n v="12.0135363790186"/>
        <n v="11.986301369863"/>
        <n v="11.967213114754101"/>
        <n v="11.9694397283531"/>
        <n v="12.038014783526901"/>
        <n v="11.9891008174387"/>
        <n v="11.9907763259032"/>
        <n v="14.8796498905908"/>
        <n v="14.9779735682819"/>
        <n v="15.068493150684899"/>
        <n v="14.928057553956799"/>
        <n v="15.036231884057999"/>
        <n v="15.0662251655629"/>
        <n v="14.939024390243899"/>
        <n v="14.943960149439601"/>
        <n v="14.975247524752501"/>
        <n v="14.935822637106201"/>
        <n v="14.9944873208379"/>
        <n v="15.0254668930391"/>
        <n v="14.9830508474576"/>
        <n v="14.988009592326099"/>
        <n v="14.9837133550489"/>
        <n v="14.977692797960501"/>
        <n v="15.0143266475645"/>
        <n v="10.0303951367781"/>
        <n v="9.9893730074388998"/>
        <n v="10.0327153762268"/>
        <n v="10.036719706242399"/>
        <n v="10.0529100529101"/>
        <n v="10.056657223796"/>
        <n v="10.0250626566416"/>
        <n v="9.9652375434530693"/>
        <n v="10.009624639076"/>
        <n v="10.019841269841301"/>
        <n v="9.9769762087490399"/>
        <n v="9.99375390381012"/>
        <n v="9.9842767295597508"/>
        <n v="9.9684542586750808"/>
        <n v="9.9816289038579296"/>
        <n v="14.9553571428571"/>
        <n v="14.915966386554601"/>
        <n v="15.083798882681601"/>
        <n v="14.912280701754399"/>
        <n v="15.0170648464164"/>
        <n v="14.983164983165"/>
        <n v="14.9933065595716"/>
        <n v="14.955640050697101"/>
        <n v="14.972677595628401"/>
        <n v="15.0334075723831"/>
        <n v="15.018315018315"/>
        <n v="15.004659832246"/>
        <n v="15.025906735751301"/>
        <n v="14.9769585253456"/>
        <n v="15.015479876161001"/>
        <n v="14.9768058316766"/>
        <n v="14.987244897959201"/>
        <n v="14.959349593495901"/>
        <n v="14.9737302977233"/>
        <n v="14.994934143870299"/>
        <n v="14.9674620390456"/>
        <n v="14.992927864215"/>
        <n v="15"/>
        <n v="14.9341142020498"/>
        <n v="15.007656967840701"/>
        <n v="14.954682779456199"/>
        <n v="14.956011730205301"/>
        <n v="15.0058616647128"/>
        <n v="15.0339476236663"/>
        <n v="14.9892933618844"/>
        <n v="15.0239234449761"/>
        <n v="14.977578475336299"/>
        <n v="10.067114093959701"/>
        <n v="10.2564102564103"/>
        <n v="10.2272727272727"/>
        <n v="9.9476439790575899"/>
        <n v="9.8958333333333304"/>
        <n v="9.8130841121495305"/>
        <n v="10.1234567901235"/>
        <n v="9.9365750528541206"/>
        <n v="9.9250936329588004"/>
        <n v="9.9857346647646192"/>
        <n v="9.9616858237547898"/>
        <n v="10.0702576112412"/>
        <n v="10.0583090379009"/>
        <n v="10.1321585903084"/>
        <n v="9.8425196850393704"/>
        <n v="10.0313479623824"/>
        <n v="10.0946372239748"/>
        <n v="10.084033613445399"/>
        <n v="10.089686098654701"/>
        <n v="9.9821746880570394"/>
        <n v="10.055865921787699"/>
        <n v="10.047846889952201"/>
        <n v="10.0436681222707"/>
        <n v="10.049627791563299"/>
        <n v="10.011123470522801"/>
        <n v="6.0150375939849603"/>
        <n v="6.0559006211180098"/>
        <n v="6.0698027314112304"/>
        <n v="5.99078341013825"/>
        <n v="5.9612518628912099"/>
        <n v="6.0478199718705996"/>
        <n v="5.9683313032886698"/>
        <n v="6.0093896713615003"/>
        <n v="5.9773828756058203"/>
        <n v="6.00732600732601"/>
        <n v="5.9987631416202802"/>
        <n v="6.0125060125060097"/>
        <n v="5.98326359832636"/>
        <n v="6.0046189376443397"/>
        <n v="6.0044011317195896"/>
        <n v="6.0067027584429002"/>
        <n v="6.0009057971014501"/>
        <n v="10.010649627263"/>
        <n v="10.0418410041841"/>
        <n v="9.97854077253219"/>
        <n v="9.9780701754385994"/>
        <n v="9.9887766554433206"/>
        <n v="10.0244498777506"/>
        <n v="9.97229916897507"/>
        <n v="9.9752168525402691"/>
        <n v="10.018105009052499"/>
        <n v="9.9823840281855496"/>
        <n v="9.9911971830985902"/>
        <n v="9.9926793557833093"/>
        <n v="9.9963383376052697"/>
        <n v="9.9969797644216207"/>
        <n v="9.9969049829774104"/>
        <n v="10.116731517509701"/>
        <n v="9.90712074303406"/>
        <n v="9.9730458221024296"/>
        <n v="10.093896713615001"/>
        <n v="10.022271714922001"/>
        <n v="9.9029126213592207"/>
        <n v="10.0375234521576"/>
        <n v="10.028929604628701"/>
        <n v="10.0307692307692"/>
        <n v="10.0057504312823"/>
        <n v="10.033670033670001"/>
        <n v="10.017574692442899"/>
        <n v="10.0108813928183"/>
        <n v="9.7701149425287408"/>
        <n v="10.096153846153801"/>
        <n v="9.8039215686274499"/>
        <n v="9.8290598290598297"/>
        <n v="10.108303249097499"/>
        <n v="9.8726114649681502"/>
        <n v="10.1369863013699"/>
        <n v="9.8765432098765498"/>
        <n v="10.040983606557401"/>
        <n v="9.9328859060402692"/>
        <n v="9.9783080260303691"/>
        <n v="10.0292112950341"/>
        <n v="10.040160642570299"/>
        <n v="9.9659284497444602"/>
        <n v="10.0221075902727"/>
        <n v="10.0290697674419"/>
        <n v="10.031847133757999"/>
        <n v="10.017271157167499"/>
        <n v="9.9457504520795705"/>
        <n v="10.0760456273764"/>
        <n v="9.9688473520249197"/>
        <n v="9.9912357581069209"/>
        <n v="9.9815157116451001"/>
        <n v="9.9824868651488607"/>
        <n v="10.0072516316171"/>
        <n v="9.9758162031438893"/>
        <n v="9.9794941900205103"/>
        <n v="9.9706744868035209"/>
        <n v="10.012755102040799"/>
        <n v="9.9879663056558403"/>
        <n v="9.8360655737704903"/>
        <n v="10.215053763440901"/>
        <n v="10.1522842639594"/>
        <n v="9.9567099567099593"/>
        <n v="9.8654708520179408"/>
        <n v="9.9264705882352899"/>
        <n v="9.9255583126550899"/>
        <n v="9.9526066350710902"/>
        <n v="0.74626865671641796"/>
        <n v="1.2903225806451599"/>
        <n v="1.1299435028248599"/>
        <n v="1.0101010101010099"/>
        <n v="0.98522167487684698"/>
        <n v="0.88888888888888895"/>
        <n v="1.1952191235059799"/>
        <n v="1.0714285714285701"/>
        <n v="0.98039215686274495"/>
        <n v="0.88235294117647101"/>
        <n v="1.0582010582010599"/>
        <n v="0.898876404494382"/>
        <n v="1.0373443983402499"/>
        <n v="1.0507880910683001"/>
        <n v="1.0152284263959399"/>
        <n v="1.0279001468428799"/>
        <n v="0.94339622641509502"/>
        <n v="1.0526315789473699"/>
        <n v="0.90090090090090102"/>
        <n v="0.854700854700855"/>
        <n v="0.76335877862595403"/>
        <n v="1.13636363636364"/>
        <n v="1.10497237569061"/>
        <n v="1.0309278350515501"/>
        <n v="0.92592592592592604"/>
        <n v="0.81300813008130102"/>
        <n v="1.1450381679389301"/>
        <n v="0.93167701863354002"/>
        <n v="0.99255583126550895"/>
        <n v="0.89485458612975399"/>
        <n v="1.00806451612903"/>
        <n v="1.0489510489510501"/>
        <n v="10.4166666666667"/>
        <n v="9.9378881987577596"/>
        <n v="10.0358422939068"/>
        <n v="10.1492537313433"/>
        <n v="9.9489795918367303"/>
        <n v="9.9848714069591509"/>
        <n v="10.0536193029491"/>
        <n v="10.0591715976331"/>
        <n v="9.9715099715099704"/>
        <n v="9.9913119026933099"/>
        <n v="40"/>
        <n v="34.482758620689701"/>
        <n v="35.294117647058798"/>
        <n v="34.959349593495901"/>
        <n v="34.761904761904802"/>
        <n v="34.951456310679603"/>
        <n v="35.009671179884002"/>
        <n v="35.045317220543801"/>
        <n v="34.933333333333302"/>
        <n v="34.953703703703702"/>
        <n v="35.4838709677419"/>
        <n v="35.106382978723403"/>
        <n v="35.172413793103502"/>
        <n v="34.955752212389399"/>
        <n v="35.161290322580697"/>
        <n v="34.900990099009903"/>
        <n v="34.911242603550299"/>
        <n v="34.923339011925002"/>
        <n v="35.057471264367798"/>
        <n v="44.4444444444445"/>
        <n v="45.161290322580697"/>
        <n v="44.615384615384599"/>
        <n v="44.117647058823501"/>
        <n v="45.714285714285701"/>
        <n v="44.7368421052632"/>
        <n v="44.318181818181799"/>
        <n v="44.705882352941202"/>
        <n v="45.360824742268001"/>
        <n v="44.943820224719097"/>
        <n v="45.019920318725099"/>
        <n v="44.845360824742301"/>
        <n v="45.258620689655203"/>
        <n v="0"/>
        <n v="1.2987012987013"/>
        <n v="1.2195121951219501"/>
        <n v="0.80321285140562204"/>
        <n v="0.78740157480314998"/>
        <n v="1.0204081632653099"/>
        <n v="1.1111111111111101"/>
        <n v="0.68965517241379304"/>
        <n v="1.35135135135135"/>
        <n v="0.86206896551724199"/>
      </sharedItems>
    </cacheField>
    <cacheField name="Company_Type" numFmtId="0">
      <sharedItems count="4">
        <s v="Manufacturer"/>
        <s v="Fabless"/>
        <s v="Equipment"/>
        <s v="EDA Software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201.098414351902" createdVersion="5" refreshedVersion="5" minRefreshableVersion="3" recordCount="405">
  <cacheSource type="worksheet">
    <worksheetSource name="Table3"/>
  </cacheSource>
  <cacheFields count="7">
    <cacheField name="Year_month" numFmtId="0">
      <sharedItems count="148">
        <s v="2014-01"/>
        <s v="2014-02"/>
        <s v="2014-03"/>
        <s v="2014-04"/>
        <s v="2014-05"/>
        <s v="2014-06"/>
        <s v="2014-07"/>
        <s v="2014-08"/>
        <s v="2014-09"/>
        <s v="2014-10"/>
        <s v="2014-11"/>
        <s v="2014-12"/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</sharedItems>
    </cacheField>
    <cacheField name="Year" numFmtId="0">
      <sharedItems containsSemiMixedTypes="0" containsString="0" containsNumber="1" containsInteger="1" minValue="0" maxValue="2026" count="13"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ct" numFmtId="0">
      <sharedItems count="5">
        <s v="DRAM_DDR4_8Gb"/>
        <s v="NAND_64Gb_MLC"/>
        <s v="HBM3_stack"/>
        <s v="NVIDIA_H100"/>
        <s v="NVIDIA_B200"/>
      </sharedItems>
    </cacheField>
    <cacheField name="Currency" numFmtId="0">
      <sharedItems count="1">
        <s v="USD"/>
      </sharedItems>
    </cacheField>
    <cacheField name="Unit" numFmtId="0">
      <sharedItems count="3">
        <s v="USD/chip"/>
        <s v="USD/stack"/>
        <s v="USD/unit"/>
      </sharedItems>
    </cacheField>
    <cacheField name="Price" numFmtId="2">
      <sharedItems containsSemiMixedTypes="0" containsString="0" containsNumber="1" minValue="0" maxValue="42124.09" count="325">
        <n v="4.3600000000000003"/>
        <n v="4.5"/>
        <n v="4.3899999999999997"/>
        <n v="3.97"/>
        <n v="4.0199999999999996"/>
        <n v="3.95"/>
        <n v="3.9"/>
        <n v="3.65"/>
        <n v="3.67"/>
        <n v="3.57"/>
        <n v="3.7"/>
        <n v="3.61"/>
        <n v="3.38"/>
        <n v="3.28"/>
        <n v="3.29"/>
        <n v="3.1"/>
        <n v="3"/>
        <n v="2.96"/>
        <n v="2.93"/>
        <n v="2.8"/>
        <n v="2.89"/>
        <n v="2.88"/>
        <n v="2.57"/>
        <n v="2.67"/>
        <n v="2.58"/>
        <n v="2.74"/>
        <n v="2.85"/>
        <n v="3.33"/>
        <n v="3.02"/>
        <n v="3.45"/>
        <n v="3.58"/>
        <n v="3.78"/>
        <n v="3.89"/>
        <n v="4.29"/>
        <n v="4.3"/>
        <n v="4.45"/>
        <n v="5.39"/>
        <n v="5.28"/>
        <n v="5.68"/>
        <n v="5.77"/>
        <n v="6.05"/>
        <n v="6.55"/>
        <n v="6.61"/>
        <n v="7.11"/>
        <n v="7.34"/>
        <n v="7.5"/>
        <n v="7.67"/>
        <n v="8.31"/>
        <n v="7.66"/>
        <n v="8.18"/>
        <n v="8.43"/>
        <n v="7.32"/>
        <n v="7.51"/>
        <n v="7.86"/>
        <n v="7.45"/>
        <n v="6.97"/>
        <n v="6.48"/>
        <n v="6.1"/>
        <n v="5.88"/>
        <n v="5.05"/>
        <n v="4.71"/>
        <n v="4.2"/>
        <n v="4.01"/>
        <n v="4"/>
        <n v="2.81"/>
        <n v="3.05"/>
        <n v="3.06"/>
        <n v="3.24"/>
        <n v="3.34"/>
        <n v="2.87"/>
        <n v="2.71"/>
        <n v="3.23"/>
        <n v="3.6"/>
        <n v="3.91"/>
        <n v="3.66"/>
        <n v="4.26"/>
        <n v="4.0599999999999996"/>
        <n v="3.74"/>
        <n v="3.52"/>
        <n v="3.93"/>
        <n v="3.56"/>
        <n v="3.75"/>
        <n v="3.82"/>
        <n v="3.26"/>
        <n v="3.03"/>
        <n v="2.98"/>
        <n v="2.64"/>
        <n v="2.2799999999999998"/>
        <n v="2.0499999999999998"/>
        <n v="1.7"/>
        <n v="1.78"/>
        <n v="1.58"/>
        <n v="1.68"/>
        <n v="1.66"/>
        <n v="1.39"/>
        <n v="1.38"/>
        <n v="1.64"/>
        <n v="1.73"/>
        <n v="1.74"/>
        <n v="1.93"/>
        <n v="2.08"/>
        <n v="2.0099999999999998"/>
        <n v="2.0699999999999998"/>
        <n v="1.96"/>
        <n v="2.11"/>
        <n v="2.12"/>
        <n v="2.04"/>
        <n v="1.91"/>
        <n v="2.1"/>
        <n v="2.0299999999999998"/>
        <n v="1.92"/>
        <n v="1.94"/>
        <n v="1.82"/>
        <n v="1.84"/>
        <n v="1.85"/>
        <n v="1.97"/>
        <n v="1.8"/>
        <n v="2.2200000000000002"/>
        <n v="2.15"/>
        <n v="2.09"/>
        <n v="2.13"/>
        <n v="2.23"/>
        <n v="2.19"/>
        <n v="3.25"/>
        <n v="3.08"/>
        <n v="3.39"/>
        <n v="2.82"/>
        <n v="2.99"/>
        <n v="2.78"/>
        <n v="2.4900000000000002"/>
        <n v="2.7"/>
        <n v="2.5099999999999998"/>
        <n v="2.5299999999999998"/>
        <n v="2.56"/>
        <n v="2.4"/>
        <n v="2.31"/>
        <n v="2.33"/>
        <n v="2.14"/>
        <n v="2"/>
        <n v="2.17"/>
        <n v="2.27"/>
        <n v="2.66"/>
        <n v="2.73"/>
        <n v="2.75"/>
        <n v="2.92"/>
        <n v="3.12"/>
        <n v="3.36"/>
        <n v="3.5"/>
        <n v="3.62"/>
        <n v="3.94"/>
        <n v="4.3499999999999996"/>
        <n v="4.1399999999999997"/>
        <n v="4.51"/>
        <n v="4.57"/>
        <n v="4.92"/>
        <n v="4.99"/>
        <n v="5.57"/>
        <n v="5.53"/>
        <n v="5.31"/>
        <n v="5.61"/>
        <n v="5.17"/>
        <n v="5.07"/>
        <n v="5.12"/>
        <n v="4.82"/>
        <n v="4.96"/>
        <n v="4.25"/>
        <n v="4.13"/>
        <n v="4.2699999999999996"/>
        <n v="4.05"/>
        <n v="4.37"/>
        <n v="3.85"/>
        <n v="4.04"/>
        <n v="3.87"/>
        <n v="3.99"/>
        <n v="3.98"/>
        <n v="4.34"/>
        <n v="4.0999999999999996"/>
        <n v="4.8099999999999996"/>
        <n v="4.41"/>
        <n v="4.2300000000000004"/>
        <n v="4.76"/>
        <n v="4.66"/>
        <n v="4.75"/>
        <n v="4.55"/>
        <n v="5.0999999999999996"/>
        <n v="4.97"/>
        <n v="4.83"/>
        <n v="4.62"/>
        <n v="4.9400000000000004"/>
        <n v="5.03"/>
        <n v="4.87"/>
        <n v="5.01"/>
        <n v="4.78"/>
        <n v="4.59"/>
        <n v="4.24"/>
        <n v="4.43"/>
        <n v="4.08"/>
        <n v="3.86"/>
        <n v="3.76"/>
        <n v="3.77"/>
        <n v="3.43"/>
        <n v="3.71"/>
        <n v="3.53"/>
        <n v="3.14"/>
        <n v="4.03"/>
        <n v="4.07"/>
        <n v="4.32"/>
        <n v="4.12"/>
        <n v="3.84"/>
        <n v="4.3099999999999996"/>
        <n v="4.1100000000000003"/>
        <n v="3.92"/>
        <n v="4.1500000000000004"/>
        <n v="4.16"/>
        <n v="3.88"/>
        <n v="3.96"/>
        <n v="188.37"/>
        <n v="196.24"/>
        <n v="196.26"/>
        <n v="220.01"/>
        <n v="216.4"/>
        <n v="229.54"/>
        <n v="246.1"/>
        <n v="240.22"/>
        <n v="255.61"/>
        <n v="256.74"/>
        <n v="273.89999999999998"/>
        <n v="278.45"/>
        <n v="272.36"/>
        <n v="292.39"/>
        <n v="320.45"/>
        <n v="326.82"/>
        <n v="317.39"/>
        <n v="359.3"/>
        <n v="348.56"/>
        <n v="400.51"/>
        <n v="409.42"/>
        <n v="411.76"/>
        <n v="424.15"/>
        <n v="431.89"/>
        <n v="462.38"/>
        <n v="473.52"/>
        <n v="514.03"/>
        <n v="558.96"/>
        <n v="556.75"/>
        <n v="585.39"/>
        <n v="587.64"/>
        <n v="606.92999999999995"/>
        <n v="604.41"/>
        <n v="686.42"/>
        <n v="734.9"/>
        <n v="741.07"/>
        <n v="663.9"/>
        <n v="738.13"/>
        <n v="767.15"/>
        <n v="719.97"/>
        <n v="744.5"/>
        <n v="692.12"/>
        <n v="766.33"/>
        <n v="734.73"/>
        <n v="781.35"/>
        <n v="735.91"/>
        <n v="809.18"/>
        <n v="833.47"/>
        <n v="787.74"/>
        <n v="788.91"/>
        <n v="768.02"/>
        <n v="840.99"/>
        <n v="34195.17"/>
        <n v="32894.559999999998"/>
        <n v="35640.01"/>
        <n v="34375.68"/>
        <n v="33054.82"/>
        <n v="33254.089999999997"/>
        <n v="34958.19"/>
        <n v="33805.550000000003"/>
        <n v="32323.25"/>
        <n v="32802.35"/>
        <n v="29897.599999999999"/>
        <n v="30677.06"/>
        <n v="30177.31"/>
        <n v="28780.09"/>
        <n v="29177.74"/>
        <n v="27139.42"/>
        <n v="28576.86"/>
        <n v="28624.95"/>
        <n v="24916.2"/>
        <n v="29365.39"/>
        <n v="24786.5"/>
        <n v="27318.46"/>
        <n v="28639.88"/>
        <n v="26637.79"/>
        <n v="25006.080000000002"/>
        <n v="24892.3"/>
        <n v="26580.7"/>
        <n v="23150.48"/>
        <n v="25640.35"/>
        <n v="23947.16"/>
        <n v="22397.64"/>
        <n v="22469.74"/>
        <n v="21595"/>
        <n v="22775.64"/>
        <n v="22126.44"/>
        <n v="19581.29"/>
        <n v="20183.91"/>
        <n v="19321.240000000002"/>
        <n v="42124.09"/>
        <n v="37258.65"/>
        <n v="41236.94"/>
        <n v="37949.43"/>
        <n v="35882.32"/>
        <n v="36223.79"/>
        <n v="35646.43"/>
        <n v="34600.74"/>
        <n v="36136.81"/>
        <n v="33650.22"/>
        <n v="31771.32"/>
        <n v="33476.78"/>
        <n v="31014.15"/>
        <n v="31687.88"/>
        <n v="30857.25"/>
        <n v="30409.200000000001"/>
        <n v="33556.33"/>
        <n v="30581.32"/>
        <n v="30295.89"/>
      </sharedItems>
    </cacheField>
    <cacheField name="Product_Category" numFmtId="0">
      <sharedItems count="4">
        <s v="Memory - DRAM"/>
        <s v="Memory - NAND"/>
        <s v="Memory - HBM"/>
        <s v="GP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p" refreshedDate="46201.100335648101" createdVersion="5" refreshedVersion="5" minRefreshableVersion="3" recordCount="313">
  <cacheSource type="worksheet">
    <worksheetSource name="Table5"/>
  </cacheSource>
  <cacheFields count="9">
    <cacheField name="Year" numFmtId="0">
      <sharedItems containsSemiMixedTypes="0" containsString="0" containsNumber="1" containsInteger="1" minValue="0" maxValue="2026" count="16">
        <n v="2022"/>
        <n v="2023"/>
        <n v="2024"/>
        <n v="2025"/>
        <n v="2026"/>
        <n v="2020"/>
        <n v="2021"/>
        <n v="2018"/>
        <n v="2019"/>
        <n v="2015"/>
        <n v="2016"/>
        <n v="2017"/>
        <n v="2011"/>
        <n v="2012"/>
        <n v="2013"/>
        <n v="2014"/>
      </sharedItems>
    </cacheField>
    <cacheField name="Company" numFmtId="0">
      <sharedItems count="16">
        <s v="TSMC"/>
        <s v="Samsung"/>
        <s v="Intel"/>
        <s v="SMIC"/>
        <s v="GlobalFoundries"/>
        <s v="UMC"/>
        <s v="Samsung Memory"/>
        <s v="SK Hynix"/>
        <s v="Micron"/>
        <s v="YMTC"/>
        <s v="CXMT"/>
        <s v="Infineon"/>
        <s v="STMicroelectronics"/>
        <s v="NXP"/>
        <s v="Renesas"/>
        <s v="Hua Hong"/>
      </sharedItems>
    </cacheField>
    <cacheField name="Country_iso3" numFmtId="0">
      <sharedItems count="9">
        <s v="TWN"/>
        <s v="USA"/>
        <s v="JPN"/>
        <s v="DEU"/>
        <s v="KOR"/>
        <s v="ISR"/>
        <s v="CHN"/>
        <s v="ITA"/>
        <s v="NLD"/>
      </sharedItems>
    </cacheField>
    <cacheField name="Process_node_nm" numFmtId="0">
      <sharedItems containsSemiMixedTypes="0" containsString="0" containsNumber="1" containsInteger="1" minValue="0" maxValue="90" count="14">
        <n v="3"/>
        <n v="5"/>
        <n v="7"/>
        <n v="16"/>
        <n v="28"/>
        <n v="4"/>
        <n v="14"/>
        <n v="10"/>
        <n v="22"/>
        <n v="12"/>
        <n v="17"/>
        <n v="65"/>
        <n v="90"/>
        <n v="40"/>
      </sharedItems>
    </cacheField>
    <cacheField name="Fab_type" numFmtId="0">
      <sharedItems count="6">
        <s v="logic_leading"/>
        <s v="logic_mature"/>
        <s v="memory_DRAM"/>
        <s v="memory_HBM_packaging"/>
        <s v="memory_NAND"/>
        <s v="logic_mature_300mm"/>
      </sharedItems>
    </cacheField>
    <cacheField name="Monthly_wafer_capacity" numFmtId="0">
      <sharedItems containsSemiMixedTypes="0" containsString="0" containsNumber="1" containsInteger="1" minValue="0" maxValue="875382" count="276">
        <n v="0"/>
        <n v="38445"/>
        <n v="80106"/>
        <n v="129646"/>
        <n v="136143"/>
        <n v="53296"/>
        <n v="95116"/>
        <n v="163173"/>
        <n v="146070"/>
        <n v="165947"/>
        <n v="165561"/>
        <n v="42633"/>
        <n v="92536"/>
        <n v="129499"/>
        <n v="146937"/>
        <n v="151030"/>
        <n v="134531"/>
        <n v="149236"/>
        <n v="148514"/>
        <n v="62369"/>
        <n v="119768"/>
        <n v="196357"/>
        <n v="175711"/>
        <n v="189222"/>
        <n v="180878"/>
        <n v="187306"/>
        <n v="176020"/>
        <n v="179554"/>
        <n v="187911"/>
        <n v="189893"/>
        <n v="68869"/>
        <n v="137349"/>
        <n v="215975"/>
        <n v="215031"/>
        <n v="196285"/>
        <n v="203765"/>
        <n v="193860"/>
        <n v="200233"/>
        <n v="194091"/>
        <n v="216874"/>
        <n v="203670"/>
        <n v="197831"/>
        <n v="212299"/>
        <n v="188401"/>
        <n v="198923"/>
        <n v="42127"/>
        <n v="44554"/>
        <n v="30882"/>
        <n v="58031"/>
        <n v="57313"/>
        <n v="22187"/>
        <n v="26145"/>
        <n v="47947"/>
        <n v="85089"/>
        <n v="91799"/>
        <n v="29024"/>
        <n v="56626"/>
        <n v="85759"/>
        <n v="90240"/>
        <n v="85147"/>
        <n v="102087"/>
        <n v="32917"/>
        <n v="58889"/>
        <n v="95139"/>
        <n v="106358"/>
        <n v="87031"/>
        <n v="98277"/>
        <n v="98984"/>
        <n v="114515"/>
        <n v="51020"/>
        <n v="102867"/>
        <n v="164423"/>
        <n v="148485"/>
        <n v="152847"/>
        <n v="139265"/>
        <n v="159199"/>
        <n v="144403"/>
        <n v="145852"/>
        <n v="157324"/>
        <n v="152597"/>
        <n v="33061"/>
        <n v="33486"/>
        <n v="19876"/>
        <n v="65381"/>
        <n v="60084"/>
        <n v="27861"/>
        <n v="54058"/>
        <n v="81664"/>
        <n v="87794"/>
        <n v="85991"/>
        <n v="90942"/>
        <n v="32978"/>
        <n v="64059"/>
        <n v="102162"/>
        <n v="102219"/>
        <n v="97400"/>
        <n v="94968"/>
        <n v="112242"/>
        <n v="101647"/>
        <n v="96404"/>
        <n v="109920"/>
        <n v="109401"/>
        <n v="51425"/>
        <n v="93744"/>
        <n v="152668"/>
        <n v="165055"/>
        <n v="153537"/>
        <n v="147204"/>
        <n v="146244"/>
        <n v="146953"/>
        <n v="148107"/>
        <n v="147193"/>
        <n v="157032"/>
        <n v="137548"/>
        <n v="164436"/>
        <n v="161897"/>
        <n v="39698"/>
        <n v="47022"/>
        <n v="23413"/>
        <n v="10815"/>
        <n v="24320"/>
        <n v="35715"/>
        <n v="32300"/>
        <n v="36705"/>
        <n v="39208"/>
        <n v="20178"/>
        <n v="40586"/>
        <n v="64587"/>
        <n v="63793"/>
        <n v="51986"/>
        <n v="59055"/>
        <n v="59508"/>
        <n v="54967"/>
        <n v="63297"/>
        <n v="70252"/>
        <n v="5084"/>
        <n v="15045"/>
        <n v="15954"/>
        <n v="9732"/>
        <n v="20467"/>
        <n v="27320"/>
        <n v="32927"/>
        <n v="30917"/>
        <n v="29727"/>
        <n v="30875"/>
        <n v="27958"/>
        <n v="31827"/>
        <n v="29517"/>
        <n v="31180"/>
        <n v="32198"/>
        <n v="17255"/>
        <n v="33762"/>
        <n v="51656"/>
        <n v="49978"/>
        <n v="51299"/>
        <n v="48963"/>
        <n v="58691"/>
        <n v="50852"/>
        <n v="12492"/>
        <n v="22360"/>
        <n v="39126"/>
        <n v="36786"/>
        <n v="38578"/>
        <n v="38553"/>
        <n v="32986"/>
        <n v="67981"/>
        <n v="107257"/>
        <n v="100910"/>
        <n v="95545"/>
        <n v="104208"/>
        <n v="104713"/>
        <n v="103327"/>
        <n v="103797"/>
        <n v="98654"/>
        <n v="95461"/>
        <n v="100539"/>
        <n v="101362"/>
        <n v="9958"/>
        <n v="19564"/>
        <n v="25878"/>
        <n v="28186"/>
        <n v="31729"/>
        <n v="29019"/>
        <n v="30545"/>
        <n v="29384"/>
        <n v="35461"/>
        <n v="270562"/>
        <n v="599104"/>
        <n v="863016"/>
        <n v="787830"/>
        <n v="776619"/>
        <n v="787083"/>
        <n v="861691"/>
        <n v="875382"/>
        <n v="112992"/>
        <n v="109373"/>
        <n v="200909"/>
        <n v="437348"/>
        <n v="610815"/>
        <n v="629595"/>
        <n v="578650"/>
        <n v="603672"/>
        <n v="675345"/>
        <n v="69344"/>
        <n v="93770"/>
        <n v="186849"/>
        <n v="279338"/>
        <n v="274623"/>
        <n v="316729"/>
        <n v="349095"/>
        <n v="59542"/>
        <n v="132067"/>
        <n v="198378"/>
        <n v="222097"/>
        <n v="185946"/>
        <n v="196131"/>
        <n v="228697"/>
        <n v="225005"/>
        <n v="56571"/>
        <n v="67775"/>
        <n v="138619"/>
        <n v="192066"/>
        <n v="208976"/>
        <n v="196067"/>
        <n v="223641"/>
        <n v="38786"/>
        <n v="79909"/>
        <n v="116322"/>
        <n v="113739"/>
        <n v="123791"/>
        <n v="124911"/>
        <n v="15735"/>
        <n v="34541"/>
        <n v="47131"/>
        <n v="48604"/>
        <n v="48462"/>
        <n v="53425"/>
        <n v="53374"/>
        <n v="54420"/>
        <n v="24000"/>
        <n v="53218"/>
        <n v="92822"/>
        <n v="88584"/>
        <n v="20555"/>
        <n v="41831"/>
        <n v="54297"/>
        <n v="55159"/>
        <n v="60634"/>
        <n v="57893"/>
        <n v="64068"/>
        <n v="62014"/>
        <n v="59915"/>
        <n v="11620"/>
        <n v="26356"/>
        <n v="39625"/>
        <n v="39160"/>
        <n v="42217"/>
        <n v="42470"/>
        <n v="39660"/>
        <n v="35950"/>
        <n v="41253"/>
        <n v="43182"/>
        <n v="44685"/>
        <n v="15723"/>
        <n v="36855"/>
        <n v="47658"/>
        <n v="51908"/>
        <n v="45954"/>
        <n v="50113"/>
        <n v="59332"/>
        <n v="24334"/>
        <n v="47222"/>
        <n v="69633"/>
        <n v="74939"/>
        <n v="72635"/>
        <n v="70440"/>
      </sharedItems>
    </cacheField>
    <cacheField name="fab_started_year" numFmtId="0">
      <sharedItems containsSemiMixedTypes="0" containsString="0" containsNumber="1" containsInteger="1" minValue="0" maxValue="2026" count="14">
        <n v="2022"/>
        <n v="2020"/>
        <n v="2018"/>
        <n v="2015"/>
        <n v="2011"/>
        <n v="2024"/>
        <n v="2026"/>
        <n v="2023"/>
        <n v="2012"/>
        <n v="2016"/>
        <n v="2014"/>
        <n v="2013"/>
        <n v="2017"/>
        <n v="2019"/>
      </sharedItems>
    </cacheField>
    <cacheField name="Node_Category" numFmtId="0">
      <sharedItems count="4">
        <s v="Leading Edge (3-5nm)"/>
        <s v="Advanced (7-16nm)"/>
        <s v="Mature (22-28nm)"/>
        <s v="Legacy (40nm+)"/>
      </sharedItems>
    </cacheField>
    <cacheField name="Regions" numFmtId="0">
      <sharedItems count="7">
        <s v="Taiwan"/>
        <s v="USA"/>
        <s v="Japan"/>
        <s v="Europe"/>
        <s v="South Korea"/>
        <s v="Middle East"/>
        <s v="China"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p" refreshedDate="46201.104178240697" createdVersion="5" refreshedVersion="5" minRefreshableVersion="3" recordCount="34">
  <cacheSource type="worksheet">
    <worksheetSource name="Table4"/>
  </cacheSource>
  <cacheFields count="17">
    <cacheField name="Control_id" numFmtId="0">
      <sharedItems count="34">
        <s v="EC001"/>
        <s v="EC002"/>
        <s v="EC003"/>
        <s v="EC004"/>
        <s v="EC005"/>
        <s v="EC006"/>
        <s v="EC007"/>
        <s v="EC008"/>
        <s v="EC009"/>
        <s v="EC010"/>
        <s v="EC011"/>
        <s v="EC012"/>
        <s v="EC013"/>
        <s v="EC014"/>
        <s v="EC015"/>
        <s v="EC016"/>
        <s v="EC017"/>
        <s v="EC018"/>
        <s v="EC019"/>
        <s v="EC020"/>
        <s v="EC021"/>
        <s v="EC022"/>
        <s v="EC023"/>
        <s v="EC024"/>
        <s v="EC025"/>
        <s v="EC026"/>
        <s v="EC027"/>
        <s v="EC028"/>
        <s v="EC029"/>
        <s v="EC030"/>
        <s v="EC031"/>
        <s v="EC032"/>
        <s v="EC033"/>
        <s v="EC034"/>
      </sharedItems>
    </cacheField>
    <cacheField name="Date" numFmtId="166">
      <sharedItems containsSemiMixedTypes="0" containsNonDate="0" containsDate="1" containsString="0" minDate="2018-08-01T00:00:00" maxDate="2026-04-30T00:00:00" count="34">
        <d v="2018-08-01T00:00:00"/>
        <d v="2019-05-15T00:00:00"/>
        <d v="2019-05-21T00:00:00"/>
        <d v="2020-05-15T00:00:00"/>
        <d v="2020-09-15T00:00:00"/>
        <d v="2020-12-18T00:00:00"/>
        <d v="2021-04-08T00:00:00"/>
        <d v="2022-08-09T00:00:00"/>
        <d v="2022-08-31T00:00:00"/>
        <d v="2022-10-07T00:00:00"/>
        <d v="2022-12-15T00:00:00"/>
        <d v="2023-01-27T00:00:00"/>
        <d v="2023-03-09T00:00:00"/>
        <d v="2023-05-23T00:00:00"/>
        <d v="2023-07-04T00:00:00"/>
        <d v="2023-08-09T00:00:00"/>
        <d v="2023-10-17T00:00:00"/>
        <d v="2023-12-21T00:00:00"/>
        <d v="2024-03-29T00:00:00"/>
        <d v="2024-05-07T00:00:00"/>
        <d v="2024-08-12T00:00:00"/>
        <d v="2024-09-05T00:00:00"/>
        <d v="2024-12-02T00:00:00"/>
        <d v="2024-12-04T00:00:00"/>
        <d v="2025-01-13T00:00:00"/>
        <d v="2025-02-12T00:00:00"/>
        <d v="2025-04-15T00:00:00"/>
        <d v="2025-04-30T00:00:00"/>
        <d v="2025-07-15T00:00:00"/>
        <d v="2025-08-25T00:00:00"/>
        <d v="2025-10-30T00:00:00"/>
        <d v="2026-01-15T00:00:00"/>
        <d v="2026-04-15T00:00:00"/>
        <d v="2026-04-30T00:00:00"/>
      </sharedItems>
    </cacheField>
    <cacheField name="Year" numFmtId="0">
      <sharedItems containsSemiMixedTypes="0" containsString="0" containsNumber="1" containsInteger="1" minValue="0" maxValue="2026" count="9">
        <n v="2018"/>
        <n v="2019"/>
        <n v="2020"/>
        <n v="2021"/>
        <n v="2022"/>
        <n v="2023"/>
        <n v="2024"/>
        <n v="2025"/>
        <n v="2026"/>
      </sharedItems>
    </cacheField>
    <cacheField name="Month" numFmtId="0">
      <sharedItems containsSemiMixedTypes="0" containsString="0" containsNumber="1" containsInteger="1" minValue="0" maxValue="12" count="10">
        <n v="8"/>
        <n v="5"/>
        <n v="9"/>
        <n v="12"/>
        <n v="4"/>
        <n v="10"/>
        <n v="1"/>
        <n v="3"/>
        <n v="7"/>
        <n v="2"/>
      </sharedItems>
    </cacheField>
    <cacheField name="Imposing_country" numFmtId="0">
      <sharedItems count="3">
        <s v="USA"/>
        <s v="NLD"/>
        <s v="CHN"/>
      </sharedItems>
    </cacheField>
    <cacheField name="Target" numFmtId="0">
      <sharedItems count="31">
        <s v="ZTE"/>
        <s v="Huawei"/>
        <s v="SMIC"/>
        <s v="Phytium"/>
        <s v="CHIPS_Act"/>
        <s v="NVIDIA_AMD"/>
        <s v="BIS_China"/>
        <s v="YMTC_Entity"/>
        <s v="Netherlands_Japan"/>
        <s v="ASML"/>
        <s v="Micron"/>
        <s v="Gallium_Germ"/>
        <s v="Outbound_Investment"/>
        <s v="BIS_update_2023"/>
        <s v="Rare_Earths"/>
        <s v="BIS_update_2024"/>
        <s v="Huawei_License"/>
        <s v="Antimony"/>
        <s v="Quantum_Semis"/>
        <s v="December_2024_rules"/>
        <s v="Ga_Ge_Sb_total"/>
        <s v="Biden_AI_Diffusion"/>
        <s v="H20_restricted"/>
        <s v="Section_232_semis"/>
        <s v="REE_heavy"/>
        <s v="AI_Diffusion_repealed"/>
        <s v="Equipment_China"/>
        <s v="Trump_Xi_chip_deal"/>
        <s v="Section_232_minerals"/>
        <s v="Section_232_semis_imposed"/>
        <s v="REE_tightened"/>
      </sharedItems>
    </cacheField>
    <cacheField name="Policy_name" numFmtId="0">
      <sharedItems count="34">
        <s v="Entity List action"/>
        <s v="Huawei Entity List"/>
        <s v="TGL granted"/>
        <s v="FDPR Direct Product Rule"/>
        <s v="FDPR expanded"/>
        <s v="Entity List addition"/>
        <s v="Supercomputer EL"/>
        <s v="CHIPS Act signed"/>
        <s v="AI chip restrictions"/>
        <s v="Comprehensive controls"/>
        <s v="YMTC + 31 companies"/>
        <s v="ASML/Tokyo Electron deal"/>
        <s v="EUV restrictions"/>
        <s v="Micron security review"/>
        <s v="Export controls Ga/Ge"/>
        <s v="Executive Order outbound"/>
        <s v="October 2023 rules update"/>
        <s v="Rare earth tech export ban"/>
        <s v="Additional restrictions"/>
        <s v="Revokes Huawei licenses"/>
        <s v="Antimony export controls"/>
        <s v="Quantum/EGaN restrictions"/>
        <s v="Dec 2024 sweeping rules"/>
        <s v="Total ban critical minerals"/>
        <s v="AI Diffusion Rule"/>
        <s v="H20 export controls"/>
        <s v="Section 232 chip investigation"/>
        <s v="Heavy REE licensing"/>
        <s v="AI Diffusion repealed"/>
        <s v="Equipment dual-use rules"/>
        <s v="APEC chip framework"/>
        <s v="Critical minerals tariffs"/>
        <s v="Chip tariffs 25-50%"/>
        <s v="Heavy REE near-total ban"/>
      </sharedItems>
    </cacheField>
    <cacheField name="Severity_score" numFmtId="0">
      <sharedItems containsSemiMixedTypes="0" containsString="0" containsNumber="1" containsInteger="1" minValue="0" maxValue="10" count="7">
        <n v="5"/>
        <n v="9"/>
        <n v="3"/>
        <n v="8"/>
        <n v="7"/>
        <n v="10"/>
        <n v="6"/>
      </sharedItems>
    </cacheField>
    <cacheField name="Description" numFmtId="0">
      <sharedItems count="34">
        <s v="ZTE banned then settled, $1.4B fine"/>
        <s v="Huawei + 70 affiliates banned"/>
        <s v="90-day Temporary General License"/>
        <s v="Foreign Direct Product Rule blocks TSMC-Huawei"/>
        <s v="Expanded FDPR cuts off Huawei from all chips"/>
        <s v="SMIC added with restricted EUV access"/>
        <s v="7 Chinese supercomputer firms added"/>
        <s v="$52B for US chip manufacturing"/>
        <s v="A100/H100 export restrictions to China"/>
        <s v="Sweeping export controls on advanced computing"/>
        <s v="YMTC Entity List, '36 Chinese entities'"/>
        <s v="NL/JP agree on chip equipment restrictions"/>
        <s v="Dutch formalize ASML export rules"/>
        <s v="China bans Micron from critical infrastructure"/>
        <s v="China restricts gallium/germanium exports"/>
        <s v="Restricting US investment in Chinese chip companies"/>
        <s v="H100/H800 restrictions, new licensing"/>
        <s v="China bans REE processing tech exports"/>
        <s v="AI chip rules tightened further"/>
        <s v="Intel/Qualcomm Huawei licenses revoked"/>
        <s v="Critical minerals restrictions"/>
        <s v="Bilateral with NL/DE/JP"/>
        <s v="24 Chinese fab equip companies, HBM rules"/>
        <s v="Total ban Ga/Ge/Sb to US"/>
        <s v="Tier 1/2/3 country restrictions"/>
        <s v="NVIDIA H20 chip blocked from China"/>
        <s v="Trump tariff investigation begins"/>
        <s v="Dysprosium/terbium export licensing"/>
        <s v="Trump admin repeals Biden diffusion rule"/>
        <s v="ASML/AMAT/LRCX equipment restrictions"/>
        <s v="Tariff freeze, some restrictions lift"/>
        <s v="Tungsten, cobalt, REE tariffs"/>
        <s v="Section 232 semi tariffs effective"/>
        <s v="China severs heavy rare earth exports"/>
      </sharedItems>
    </cacheField>
    <cacheField name="Is_us_action" numFmtId="0">
      <sharedItems containsSemiMixedTypes="0" containsString="0" containsNumber="1" containsInteger="1" minValue="0" maxValue="1" count="2">
        <n v="1"/>
        <n v="0"/>
      </sharedItems>
    </cacheField>
    <cacheField name="Is_china_action" numFmtId="0">
      <sharedItems containsSemiMixedTypes="0" containsString="0" containsNumber="1" containsInteger="1" minValue="0" maxValue="1" count="2">
        <n v="0"/>
        <n v="1"/>
      </sharedItems>
    </cacheField>
    <cacheField name="Is_netherlands_action" numFmtId="0">
      <sharedItems containsSemiMixedTypes="0" containsString="0" containsNumber="1" containsInteger="1" minValue="0" maxValue="1" count="2">
        <n v="0"/>
        <n v="1"/>
      </sharedItems>
    </cacheField>
    <cacheField name="Is_trump_1_0" numFmtId="0">
      <sharedItems containsSemiMixedTypes="0" containsString="0" containsNumber="1" containsInteger="1" minValue="0" maxValue="1" count="2">
        <n v="1"/>
        <n v="0"/>
      </sharedItems>
    </cacheField>
    <cacheField name="Is_biden" numFmtId="0">
      <sharedItems containsSemiMixedTypes="0" containsString="0" containsNumber="1" containsInteger="1" minValue="0" maxValue="1" count="2">
        <n v="0"/>
        <n v="1"/>
      </sharedItems>
    </cacheField>
    <cacheField name="Is_trump_2_0" numFmtId="0">
      <sharedItems containsSemiMixedTypes="0" containsString="0" containsNumber="1" containsInteger="1" minValue="0" maxValue="1" count="2">
        <n v="0"/>
        <n v="1"/>
      </sharedItems>
    </cacheField>
    <cacheField name="Severity_Label" numFmtId="0">
      <sharedItems count="4">
        <s v="Medium"/>
        <s v="Critical"/>
        <s v="Low"/>
        <s v="High"/>
      </sharedItems>
    </cacheField>
    <cacheField name="Admin_Era" numFmtId="0">
      <sharedItems count="3">
        <s v="Trump 1.0"/>
        <s v="Biden"/>
        <s v="Trump 2.0"/>
      </sharedItems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0"/>
    <x v="1"/>
    <x v="0"/>
    <x v="0"/>
    <x v="0"/>
  </r>
  <r>
    <x v="2"/>
    <x v="0"/>
    <x v="0"/>
    <x v="0"/>
    <x v="0"/>
    <x v="0"/>
    <x v="0"/>
    <x v="2"/>
    <x v="0"/>
    <x v="2"/>
    <x v="0"/>
    <x v="0"/>
    <x v="0"/>
  </r>
  <r>
    <x v="3"/>
    <x v="0"/>
    <x v="0"/>
    <x v="0"/>
    <x v="0"/>
    <x v="0"/>
    <x v="0"/>
    <x v="3"/>
    <x v="0"/>
    <x v="3"/>
    <x v="0"/>
    <x v="0"/>
    <x v="0"/>
  </r>
  <r>
    <x v="4"/>
    <x v="0"/>
    <x v="0"/>
    <x v="0"/>
    <x v="0"/>
    <x v="0"/>
    <x v="0"/>
    <x v="4"/>
    <x v="0"/>
    <x v="4"/>
    <x v="0"/>
    <x v="0"/>
    <x v="0"/>
  </r>
  <r>
    <x v="5"/>
    <x v="0"/>
    <x v="0"/>
    <x v="0"/>
    <x v="0"/>
    <x v="0"/>
    <x v="0"/>
    <x v="5"/>
    <x v="0"/>
    <x v="5"/>
    <x v="0"/>
    <x v="0"/>
    <x v="0"/>
  </r>
  <r>
    <x v="6"/>
    <x v="0"/>
    <x v="0"/>
    <x v="0"/>
    <x v="0"/>
    <x v="0"/>
    <x v="0"/>
    <x v="6"/>
    <x v="0"/>
    <x v="6"/>
    <x v="0"/>
    <x v="0"/>
    <x v="0"/>
  </r>
  <r>
    <x v="0"/>
    <x v="1"/>
    <x v="0"/>
    <x v="1"/>
    <x v="1"/>
    <x v="1"/>
    <x v="1"/>
    <x v="7"/>
    <x v="0"/>
    <x v="7"/>
    <x v="1"/>
    <x v="1"/>
    <x v="1"/>
  </r>
  <r>
    <x v="1"/>
    <x v="1"/>
    <x v="0"/>
    <x v="1"/>
    <x v="1"/>
    <x v="1"/>
    <x v="1"/>
    <x v="8"/>
    <x v="0"/>
    <x v="8"/>
    <x v="1"/>
    <x v="2"/>
    <x v="1"/>
  </r>
  <r>
    <x v="2"/>
    <x v="1"/>
    <x v="0"/>
    <x v="1"/>
    <x v="1"/>
    <x v="1"/>
    <x v="1"/>
    <x v="9"/>
    <x v="0"/>
    <x v="9"/>
    <x v="1"/>
    <x v="2"/>
    <x v="1"/>
  </r>
  <r>
    <x v="3"/>
    <x v="1"/>
    <x v="0"/>
    <x v="1"/>
    <x v="1"/>
    <x v="1"/>
    <x v="1"/>
    <x v="10"/>
    <x v="0"/>
    <x v="10"/>
    <x v="1"/>
    <x v="2"/>
    <x v="1"/>
  </r>
  <r>
    <x v="4"/>
    <x v="1"/>
    <x v="0"/>
    <x v="1"/>
    <x v="1"/>
    <x v="1"/>
    <x v="1"/>
    <x v="11"/>
    <x v="0"/>
    <x v="11"/>
    <x v="1"/>
    <x v="1"/>
    <x v="1"/>
  </r>
  <r>
    <x v="5"/>
    <x v="1"/>
    <x v="0"/>
    <x v="1"/>
    <x v="1"/>
    <x v="1"/>
    <x v="1"/>
    <x v="12"/>
    <x v="0"/>
    <x v="12"/>
    <x v="1"/>
    <x v="1"/>
    <x v="1"/>
  </r>
  <r>
    <x v="6"/>
    <x v="1"/>
    <x v="0"/>
    <x v="1"/>
    <x v="1"/>
    <x v="1"/>
    <x v="1"/>
    <x v="13"/>
    <x v="0"/>
    <x v="13"/>
    <x v="1"/>
    <x v="1"/>
    <x v="1"/>
  </r>
  <r>
    <x v="3"/>
    <x v="2"/>
    <x v="0"/>
    <x v="2"/>
    <x v="2"/>
    <x v="2"/>
    <x v="2"/>
    <x v="14"/>
    <x v="1"/>
    <x v="14"/>
    <x v="2"/>
    <x v="2"/>
    <x v="2"/>
  </r>
  <r>
    <x v="4"/>
    <x v="2"/>
    <x v="0"/>
    <x v="2"/>
    <x v="2"/>
    <x v="2"/>
    <x v="2"/>
    <x v="15"/>
    <x v="1"/>
    <x v="15"/>
    <x v="2"/>
    <x v="2"/>
    <x v="2"/>
  </r>
  <r>
    <x v="5"/>
    <x v="2"/>
    <x v="0"/>
    <x v="2"/>
    <x v="2"/>
    <x v="2"/>
    <x v="2"/>
    <x v="16"/>
    <x v="1"/>
    <x v="16"/>
    <x v="2"/>
    <x v="2"/>
    <x v="2"/>
  </r>
  <r>
    <x v="6"/>
    <x v="2"/>
    <x v="0"/>
    <x v="2"/>
    <x v="2"/>
    <x v="2"/>
    <x v="2"/>
    <x v="17"/>
    <x v="1"/>
    <x v="17"/>
    <x v="2"/>
    <x v="2"/>
    <x v="2"/>
  </r>
  <r>
    <x v="4"/>
    <x v="3"/>
    <x v="0"/>
    <x v="3"/>
    <x v="3"/>
    <x v="2"/>
    <x v="2"/>
    <x v="18"/>
    <x v="2"/>
    <x v="18"/>
    <x v="3"/>
    <x v="2"/>
    <x v="2"/>
  </r>
  <r>
    <x v="5"/>
    <x v="3"/>
    <x v="0"/>
    <x v="3"/>
    <x v="3"/>
    <x v="2"/>
    <x v="2"/>
    <x v="19"/>
    <x v="2"/>
    <x v="19"/>
    <x v="3"/>
    <x v="2"/>
    <x v="2"/>
  </r>
  <r>
    <x v="6"/>
    <x v="3"/>
    <x v="0"/>
    <x v="3"/>
    <x v="3"/>
    <x v="2"/>
    <x v="2"/>
    <x v="20"/>
    <x v="2"/>
    <x v="20"/>
    <x v="3"/>
    <x v="2"/>
    <x v="2"/>
  </r>
  <r>
    <x v="3"/>
    <x v="4"/>
    <x v="0"/>
    <x v="4"/>
    <x v="4"/>
    <x v="3"/>
    <x v="3"/>
    <x v="21"/>
    <x v="0"/>
    <x v="21"/>
    <x v="4"/>
    <x v="2"/>
    <x v="3"/>
  </r>
  <r>
    <x v="4"/>
    <x v="4"/>
    <x v="0"/>
    <x v="4"/>
    <x v="4"/>
    <x v="3"/>
    <x v="3"/>
    <x v="22"/>
    <x v="0"/>
    <x v="22"/>
    <x v="4"/>
    <x v="2"/>
    <x v="3"/>
  </r>
  <r>
    <x v="5"/>
    <x v="4"/>
    <x v="0"/>
    <x v="4"/>
    <x v="4"/>
    <x v="3"/>
    <x v="3"/>
    <x v="23"/>
    <x v="0"/>
    <x v="23"/>
    <x v="4"/>
    <x v="2"/>
    <x v="3"/>
  </r>
  <r>
    <x v="6"/>
    <x v="4"/>
    <x v="0"/>
    <x v="4"/>
    <x v="4"/>
    <x v="3"/>
    <x v="3"/>
    <x v="24"/>
    <x v="0"/>
    <x v="24"/>
    <x v="4"/>
    <x v="2"/>
    <x v="3"/>
  </r>
  <r>
    <x v="4"/>
    <x v="5"/>
    <x v="0"/>
    <x v="5"/>
    <x v="5"/>
    <x v="4"/>
    <x v="4"/>
    <x v="25"/>
    <x v="3"/>
    <x v="25"/>
    <x v="5"/>
    <x v="1"/>
    <x v="4"/>
  </r>
  <r>
    <x v="5"/>
    <x v="5"/>
    <x v="0"/>
    <x v="5"/>
    <x v="5"/>
    <x v="4"/>
    <x v="4"/>
    <x v="26"/>
    <x v="3"/>
    <x v="26"/>
    <x v="5"/>
    <x v="2"/>
    <x v="4"/>
  </r>
  <r>
    <x v="6"/>
    <x v="5"/>
    <x v="0"/>
    <x v="5"/>
    <x v="5"/>
    <x v="4"/>
    <x v="4"/>
    <x v="27"/>
    <x v="3"/>
    <x v="27"/>
    <x v="5"/>
    <x v="2"/>
    <x v="4"/>
  </r>
  <r>
    <x v="4"/>
    <x v="6"/>
    <x v="0"/>
    <x v="5"/>
    <x v="6"/>
    <x v="5"/>
    <x v="5"/>
    <x v="28"/>
    <x v="4"/>
    <x v="28"/>
    <x v="6"/>
    <x v="1"/>
    <x v="5"/>
  </r>
  <r>
    <x v="5"/>
    <x v="6"/>
    <x v="0"/>
    <x v="5"/>
    <x v="6"/>
    <x v="5"/>
    <x v="5"/>
    <x v="29"/>
    <x v="4"/>
    <x v="29"/>
    <x v="6"/>
    <x v="2"/>
    <x v="5"/>
  </r>
  <r>
    <x v="6"/>
    <x v="6"/>
    <x v="0"/>
    <x v="5"/>
    <x v="6"/>
    <x v="5"/>
    <x v="5"/>
    <x v="30"/>
    <x v="4"/>
    <x v="30"/>
    <x v="6"/>
    <x v="2"/>
    <x v="5"/>
  </r>
  <r>
    <x v="5"/>
    <x v="7"/>
    <x v="0"/>
    <x v="6"/>
    <x v="7"/>
    <x v="6"/>
    <x v="6"/>
    <x v="31"/>
    <x v="5"/>
    <x v="31"/>
    <x v="7"/>
    <x v="0"/>
    <x v="6"/>
  </r>
  <r>
    <x v="6"/>
    <x v="7"/>
    <x v="0"/>
    <x v="6"/>
    <x v="7"/>
    <x v="6"/>
    <x v="6"/>
    <x v="32"/>
    <x v="5"/>
    <x v="32"/>
    <x v="7"/>
    <x v="0"/>
    <x v="6"/>
  </r>
  <r>
    <x v="1"/>
    <x v="8"/>
    <x v="1"/>
    <x v="7"/>
    <x v="8"/>
    <x v="7"/>
    <x v="7"/>
    <x v="33"/>
    <x v="0"/>
    <x v="33"/>
    <x v="8"/>
    <x v="0"/>
    <x v="7"/>
  </r>
  <r>
    <x v="2"/>
    <x v="8"/>
    <x v="1"/>
    <x v="7"/>
    <x v="8"/>
    <x v="7"/>
    <x v="7"/>
    <x v="34"/>
    <x v="0"/>
    <x v="34"/>
    <x v="8"/>
    <x v="0"/>
    <x v="7"/>
  </r>
  <r>
    <x v="3"/>
    <x v="8"/>
    <x v="1"/>
    <x v="7"/>
    <x v="8"/>
    <x v="7"/>
    <x v="7"/>
    <x v="35"/>
    <x v="0"/>
    <x v="35"/>
    <x v="8"/>
    <x v="0"/>
    <x v="7"/>
  </r>
  <r>
    <x v="4"/>
    <x v="8"/>
    <x v="1"/>
    <x v="7"/>
    <x v="8"/>
    <x v="7"/>
    <x v="7"/>
    <x v="36"/>
    <x v="0"/>
    <x v="36"/>
    <x v="8"/>
    <x v="0"/>
    <x v="7"/>
  </r>
  <r>
    <x v="5"/>
    <x v="8"/>
    <x v="1"/>
    <x v="7"/>
    <x v="8"/>
    <x v="7"/>
    <x v="7"/>
    <x v="37"/>
    <x v="0"/>
    <x v="37"/>
    <x v="8"/>
    <x v="0"/>
    <x v="7"/>
  </r>
  <r>
    <x v="6"/>
    <x v="8"/>
    <x v="1"/>
    <x v="7"/>
    <x v="8"/>
    <x v="7"/>
    <x v="7"/>
    <x v="38"/>
    <x v="0"/>
    <x v="38"/>
    <x v="8"/>
    <x v="0"/>
    <x v="7"/>
  </r>
  <r>
    <x v="3"/>
    <x v="9"/>
    <x v="1"/>
    <x v="8"/>
    <x v="5"/>
    <x v="8"/>
    <x v="8"/>
    <x v="31"/>
    <x v="6"/>
    <x v="31"/>
    <x v="9"/>
    <x v="0"/>
    <x v="8"/>
  </r>
  <r>
    <x v="4"/>
    <x v="9"/>
    <x v="1"/>
    <x v="8"/>
    <x v="5"/>
    <x v="8"/>
    <x v="8"/>
    <x v="39"/>
    <x v="6"/>
    <x v="39"/>
    <x v="9"/>
    <x v="2"/>
    <x v="8"/>
  </r>
  <r>
    <x v="5"/>
    <x v="9"/>
    <x v="1"/>
    <x v="8"/>
    <x v="5"/>
    <x v="8"/>
    <x v="8"/>
    <x v="40"/>
    <x v="6"/>
    <x v="40"/>
    <x v="9"/>
    <x v="2"/>
    <x v="8"/>
  </r>
  <r>
    <x v="6"/>
    <x v="9"/>
    <x v="1"/>
    <x v="8"/>
    <x v="5"/>
    <x v="8"/>
    <x v="8"/>
    <x v="41"/>
    <x v="6"/>
    <x v="41"/>
    <x v="9"/>
    <x v="2"/>
    <x v="8"/>
  </r>
  <r>
    <x v="4"/>
    <x v="10"/>
    <x v="1"/>
    <x v="9"/>
    <x v="9"/>
    <x v="8"/>
    <x v="4"/>
    <x v="42"/>
    <x v="7"/>
    <x v="42"/>
    <x v="10"/>
    <x v="0"/>
    <x v="9"/>
  </r>
  <r>
    <x v="5"/>
    <x v="10"/>
    <x v="1"/>
    <x v="9"/>
    <x v="9"/>
    <x v="8"/>
    <x v="4"/>
    <x v="43"/>
    <x v="7"/>
    <x v="43"/>
    <x v="10"/>
    <x v="2"/>
    <x v="9"/>
  </r>
  <r>
    <x v="6"/>
    <x v="10"/>
    <x v="1"/>
    <x v="9"/>
    <x v="9"/>
    <x v="8"/>
    <x v="4"/>
    <x v="44"/>
    <x v="7"/>
    <x v="44"/>
    <x v="10"/>
    <x v="2"/>
    <x v="9"/>
  </r>
  <r>
    <x v="5"/>
    <x v="11"/>
    <x v="1"/>
    <x v="10"/>
    <x v="7"/>
    <x v="9"/>
    <x v="4"/>
    <x v="45"/>
    <x v="0"/>
    <x v="45"/>
    <x v="11"/>
    <x v="0"/>
    <x v="10"/>
  </r>
  <r>
    <x v="6"/>
    <x v="11"/>
    <x v="1"/>
    <x v="10"/>
    <x v="7"/>
    <x v="9"/>
    <x v="4"/>
    <x v="46"/>
    <x v="0"/>
    <x v="46"/>
    <x v="11"/>
    <x v="0"/>
    <x v="10"/>
  </r>
  <r>
    <x v="0"/>
    <x v="12"/>
    <x v="2"/>
    <x v="11"/>
    <x v="0"/>
    <x v="10"/>
    <x v="9"/>
    <x v="47"/>
    <x v="0"/>
    <x v="47"/>
    <x v="12"/>
    <x v="0"/>
    <x v="11"/>
  </r>
  <r>
    <x v="1"/>
    <x v="12"/>
    <x v="2"/>
    <x v="11"/>
    <x v="0"/>
    <x v="10"/>
    <x v="9"/>
    <x v="48"/>
    <x v="0"/>
    <x v="48"/>
    <x v="12"/>
    <x v="0"/>
    <x v="11"/>
  </r>
  <r>
    <x v="2"/>
    <x v="12"/>
    <x v="2"/>
    <x v="11"/>
    <x v="0"/>
    <x v="10"/>
    <x v="9"/>
    <x v="49"/>
    <x v="0"/>
    <x v="38"/>
    <x v="12"/>
    <x v="0"/>
    <x v="11"/>
  </r>
  <r>
    <x v="3"/>
    <x v="12"/>
    <x v="2"/>
    <x v="11"/>
    <x v="0"/>
    <x v="10"/>
    <x v="9"/>
    <x v="50"/>
    <x v="0"/>
    <x v="49"/>
    <x v="12"/>
    <x v="0"/>
    <x v="11"/>
  </r>
  <r>
    <x v="4"/>
    <x v="12"/>
    <x v="2"/>
    <x v="11"/>
    <x v="0"/>
    <x v="10"/>
    <x v="9"/>
    <x v="51"/>
    <x v="0"/>
    <x v="37"/>
    <x v="12"/>
    <x v="0"/>
    <x v="11"/>
  </r>
  <r>
    <x v="5"/>
    <x v="12"/>
    <x v="2"/>
    <x v="11"/>
    <x v="0"/>
    <x v="10"/>
    <x v="9"/>
    <x v="52"/>
    <x v="0"/>
    <x v="50"/>
    <x v="12"/>
    <x v="0"/>
    <x v="11"/>
  </r>
  <r>
    <x v="6"/>
    <x v="12"/>
    <x v="2"/>
    <x v="11"/>
    <x v="0"/>
    <x v="10"/>
    <x v="9"/>
    <x v="53"/>
    <x v="0"/>
    <x v="51"/>
    <x v="12"/>
    <x v="0"/>
    <x v="11"/>
  </r>
  <r>
    <x v="1"/>
    <x v="13"/>
    <x v="2"/>
    <x v="12"/>
    <x v="0"/>
    <x v="11"/>
    <x v="10"/>
    <x v="54"/>
    <x v="0"/>
    <x v="51"/>
    <x v="13"/>
    <x v="0"/>
    <x v="12"/>
  </r>
  <r>
    <x v="2"/>
    <x v="13"/>
    <x v="2"/>
    <x v="12"/>
    <x v="0"/>
    <x v="11"/>
    <x v="10"/>
    <x v="55"/>
    <x v="0"/>
    <x v="52"/>
    <x v="13"/>
    <x v="0"/>
    <x v="12"/>
  </r>
  <r>
    <x v="3"/>
    <x v="13"/>
    <x v="2"/>
    <x v="12"/>
    <x v="0"/>
    <x v="11"/>
    <x v="10"/>
    <x v="56"/>
    <x v="0"/>
    <x v="53"/>
    <x v="13"/>
    <x v="0"/>
    <x v="12"/>
  </r>
  <r>
    <x v="4"/>
    <x v="13"/>
    <x v="2"/>
    <x v="12"/>
    <x v="0"/>
    <x v="11"/>
    <x v="10"/>
    <x v="57"/>
    <x v="0"/>
    <x v="54"/>
    <x v="13"/>
    <x v="0"/>
    <x v="12"/>
  </r>
  <r>
    <x v="5"/>
    <x v="13"/>
    <x v="2"/>
    <x v="12"/>
    <x v="0"/>
    <x v="11"/>
    <x v="10"/>
    <x v="58"/>
    <x v="0"/>
    <x v="55"/>
    <x v="13"/>
    <x v="0"/>
    <x v="12"/>
  </r>
  <r>
    <x v="6"/>
    <x v="13"/>
    <x v="2"/>
    <x v="12"/>
    <x v="0"/>
    <x v="11"/>
    <x v="10"/>
    <x v="59"/>
    <x v="0"/>
    <x v="56"/>
    <x v="13"/>
    <x v="0"/>
    <x v="12"/>
  </r>
  <r>
    <x v="3"/>
    <x v="14"/>
    <x v="2"/>
    <x v="13"/>
    <x v="10"/>
    <x v="12"/>
    <x v="10"/>
    <x v="60"/>
    <x v="0"/>
    <x v="57"/>
    <x v="14"/>
    <x v="2"/>
    <x v="13"/>
  </r>
  <r>
    <x v="4"/>
    <x v="14"/>
    <x v="2"/>
    <x v="13"/>
    <x v="10"/>
    <x v="12"/>
    <x v="10"/>
    <x v="61"/>
    <x v="0"/>
    <x v="58"/>
    <x v="14"/>
    <x v="2"/>
    <x v="13"/>
  </r>
  <r>
    <x v="5"/>
    <x v="14"/>
    <x v="2"/>
    <x v="13"/>
    <x v="10"/>
    <x v="12"/>
    <x v="10"/>
    <x v="62"/>
    <x v="0"/>
    <x v="59"/>
    <x v="14"/>
    <x v="2"/>
    <x v="13"/>
  </r>
  <r>
    <x v="6"/>
    <x v="14"/>
    <x v="2"/>
    <x v="13"/>
    <x v="10"/>
    <x v="12"/>
    <x v="10"/>
    <x v="63"/>
    <x v="0"/>
    <x v="60"/>
    <x v="14"/>
    <x v="2"/>
    <x v="13"/>
  </r>
  <r>
    <x v="3"/>
    <x v="15"/>
    <x v="2"/>
    <x v="8"/>
    <x v="11"/>
    <x v="13"/>
    <x v="10"/>
    <x v="31"/>
    <x v="8"/>
    <x v="31"/>
    <x v="15"/>
    <x v="0"/>
    <x v="14"/>
  </r>
  <r>
    <x v="4"/>
    <x v="15"/>
    <x v="2"/>
    <x v="8"/>
    <x v="11"/>
    <x v="13"/>
    <x v="10"/>
    <x v="64"/>
    <x v="8"/>
    <x v="31"/>
    <x v="15"/>
    <x v="0"/>
    <x v="14"/>
  </r>
  <r>
    <x v="5"/>
    <x v="15"/>
    <x v="2"/>
    <x v="8"/>
    <x v="11"/>
    <x v="13"/>
    <x v="10"/>
    <x v="65"/>
    <x v="8"/>
    <x v="31"/>
    <x v="15"/>
    <x v="0"/>
    <x v="14"/>
  </r>
  <r>
    <x v="6"/>
    <x v="15"/>
    <x v="2"/>
    <x v="8"/>
    <x v="11"/>
    <x v="13"/>
    <x v="10"/>
    <x v="66"/>
    <x v="8"/>
    <x v="31"/>
    <x v="15"/>
    <x v="0"/>
    <x v="14"/>
  </r>
  <r>
    <x v="4"/>
    <x v="16"/>
    <x v="2"/>
    <x v="14"/>
    <x v="0"/>
    <x v="14"/>
    <x v="11"/>
    <x v="67"/>
    <x v="8"/>
    <x v="31"/>
    <x v="16"/>
    <x v="0"/>
    <x v="15"/>
  </r>
  <r>
    <x v="5"/>
    <x v="16"/>
    <x v="2"/>
    <x v="14"/>
    <x v="0"/>
    <x v="14"/>
    <x v="11"/>
    <x v="68"/>
    <x v="8"/>
    <x v="31"/>
    <x v="16"/>
    <x v="0"/>
    <x v="15"/>
  </r>
  <r>
    <x v="6"/>
    <x v="16"/>
    <x v="2"/>
    <x v="14"/>
    <x v="0"/>
    <x v="14"/>
    <x v="11"/>
    <x v="69"/>
    <x v="8"/>
    <x v="31"/>
    <x v="16"/>
    <x v="0"/>
    <x v="15"/>
  </r>
  <r>
    <x v="5"/>
    <x v="17"/>
    <x v="2"/>
    <x v="15"/>
    <x v="12"/>
    <x v="15"/>
    <x v="0"/>
    <x v="31"/>
    <x v="0"/>
    <x v="31"/>
    <x v="17"/>
    <x v="0"/>
    <x v="16"/>
  </r>
  <r>
    <x v="6"/>
    <x v="17"/>
    <x v="2"/>
    <x v="15"/>
    <x v="12"/>
    <x v="15"/>
    <x v="0"/>
    <x v="70"/>
    <x v="0"/>
    <x v="61"/>
    <x v="17"/>
    <x v="0"/>
    <x v="16"/>
  </r>
  <r>
    <x v="4"/>
    <x v="18"/>
    <x v="3"/>
    <x v="16"/>
    <x v="11"/>
    <x v="16"/>
    <x v="7"/>
    <x v="31"/>
    <x v="0"/>
    <x v="31"/>
    <x v="18"/>
    <x v="0"/>
    <x v="9"/>
  </r>
  <r>
    <x v="5"/>
    <x v="18"/>
    <x v="3"/>
    <x v="16"/>
    <x v="11"/>
    <x v="16"/>
    <x v="7"/>
    <x v="71"/>
    <x v="0"/>
    <x v="62"/>
    <x v="18"/>
    <x v="2"/>
    <x v="9"/>
  </r>
  <r>
    <x v="6"/>
    <x v="18"/>
    <x v="3"/>
    <x v="16"/>
    <x v="11"/>
    <x v="16"/>
    <x v="7"/>
    <x v="72"/>
    <x v="0"/>
    <x v="63"/>
    <x v="18"/>
    <x v="2"/>
    <x v="9"/>
  </r>
  <r>
    <x v="2"/>
    <x v="19"/>
    <x v="3"/>
    <x v="17"/>
    <x v="0"/>
    <x v="17"/>
    <x v="12"/>
    <x v="31"/>
    <x v="0"/>
    <x v="31"/>
    <x v="19"/>
    <x v="0"/>
    <x v="17"/>
  </r>
  <r>
    <x v="3"/>
    <x v="19"/>
    <x v="3"/>
    <x v="17"/>
    <x v="0"/>
    <x v="17"/>
    <x v="12"/>
    <x v="73"/>
    <x v="0"/>
    <x v="64"/>
    <x v="19"/>
    <x v="2"/>
    <x v="17"/>
  </r>
  <r>
    <x v="4"/>
    <x v="19"/>
    <x v="3"/>
    <x v="17"/>
    <x v="0"/>
    <x v="17"/>
    <x v="12"/>
    <x v="74"/>
    <x v="0"/>
    <x v="65"/>
    <x v="19"/>
    <x v="2"/>
    <x v="17"/>
  </r>
  <r>
    <x v="5"/>
    <x v="19"/>
    <x v="3"/>
    <x v="17"/>
    <x v="0"/>
    <x v="17"/>
    <x v="12"/>
    <x v="75"/>
    <x v="0"/>
    <x v="66"/>
    <x v="19"/>
    <x v="2"/>
    <x v="17"/>
  </r>
  <r>
    <x v="6"/>
    <x v="19"/>
    <x v="3"/>
    <x v="17"/>
    <x v="0"/>
    <x v="17"/>
    <x v="12"/>
    <x v="76"/>
    <x v="0"/>
    <x v="67"/>
    <x v="19"/>
    <x v="1"/>
    <x v="17"/>
  </r>
  <r>
    <x v="4"/>
    <x v="20"/>
    <x v="4"/>
    <x v="18"/>
    <x v="13"/>
    <x v="18"/>
    <x v="13"/>
    <x v="77"/>
    <x v="9"/>
    <x v="68"/>
    <x v="20"/>
    <x v="2"/>
    <x v="18"/>
  </r>
  <r>
    <x v="5"/>
    <x v="20"/>
    <x v="4"/>
    <x v="18"/>
    <x v="13"/>
    <x v="18"/>
    <x v="13"/>
    <x v="78"/>
    <x v="9"/>
    <x v="69"/>
    <x v="20"/>
    <x v="2"/>
    <x v="18"/>
  </r>
  <r>
    <x v="6"/>
    <x v="20"/>
    <x v="4"/>
    <x v="18"/>
    <x v="13"/>
    <x v="18"/>
    <x v="13"/>
    <x v="79"/>
    <x v="9"/>
    <x v="70"/>
    <x v="20"/>
    <x v="2"/>
    <x v="18"/>
  </r>
  <r>
    <x v="4"/>
    <x v="21"/>
    <x v="5"/>
    <x v="19"/>
    <x v="14"/>
    <x v="19"/>
    <x v="3"/>
    <x v="80"/>
    <x v="0"/>
    <x v="71"/>
    <x v="21"/>
    <x v="1"/>
    <x v="19"/>
  </r>
  <r>
    <x v="5"/>
    <x v="21"/>
    <x v="5"/>
    <x v="19"/>
    <x v="14"/>
    <x v="19"/>
    <x v="3"/>
    <x v="81"/>
    <x v="0"/>
    <x v="72"/>
    <x v="21"/>
    <x v="1"/>
    <x v="19"/>
  </r>
  <r>
    <x v="6"/>
    <x v="21"/>
    <x v="5"/>
    <x v="19"/>
    <x v="14"/>
    <x v="19"/>
    <x v="3"/>
    <x v="82"/>
    <x v="0"/>
    <x v="73"/>
    <x v="21"/>
    <x v="1"/>
    <x v="19"/>
  </r>
  <r>
    <x v="3"/>
    <x v="22"/>
    <x v="6"/>
    <x v="20"/>
    <x v="15"/>
    <x v="20"/>
    <x v="0"/>
    <x v="83"/>
    <x v="0"/>
    <x v="74"/>
    <x v="22"/>
    <x v="0"/>
    <x v="20"/>
  </r>
  <r>
    <x v="4"/>
    <x v="22"/>
    <x v="6"/>
    <x v="20"/>
    <x v="15"/>
    <x v="20"/>
    <x v="0"/>
    <x v="84"/>
    <x v="0"/>
    <x v="75"/>
    <x v="22"/>
    <x v="0"/>
    <x v="20"/>
  </r>
  <r>
    <x v="5"/>
    <x v="22"/>
    <x v="6"/>
    <x v="20"/>
    <x v="15"/>
    <x v="20"/>
    <x v="0"/>
    <x v="85"/>
    <x v="0"/>
    <x v="76"/>
    <x v="22"/>
    <x v="0"/>
    <x v="20"/>
  </r>
  <r>
    <x v="6"/>
    <x v="22"/>
    <x v="6"/>
    <x v="20"/>
    <x v="15"/>
    <x v="20"/>
    <x v="0"/>
    <x v="86"/>
    <x v="0"/>
    <x v="77"/>
    <x v="22"/>
    <x v="0"/>
    <x v="20"/>
  </r>
  <r>
    <x v="4"/>
    <x v="23"/>
    <x v="7"/>
    <x v="21"/>
    <x v="0"/>
    <x v="21"/>
    <x v="0"/>
    <x v="87"/>
    <x v="0"/>
    <x v="78"/>
    <x v="23"/>
    <x v="0"/>
    <x v="21"/>
  </r>
  <r>
    <x v="5"/>
    <x v="23"/>
    <x v="7"/>
    <x v="21"/>
    <x v="0"/>
    <x v="21"/>
    <x v="0"/>
    <x v="88"/>
    <x v="0"/>
    <x v="79"/>
    <x v="23"/>
    <x v="0"/>
    <x v="21"/>
  </r>
  <r>
    <x v="6"/>
    <x v="23"/>
    <x v="7"/>
    <x v="21"/>
    <x v="0"/>
    <x v="21"/>
    <x v="0"/>
    <x v="89"/>
    <x v="0"/>
    <x v="53"/>
    <x v="23"/>
    <x v="0"/>
    <x v="21"/>
  </r>
  <r>
    <x v="0"/>
    <x v="24"/>
    <x v="8"/>
    <x v="22"/>
    <x v="0"/>
    <x v="22"/>
    <x v="14"/>
    <x v="90"/>
    <x v="0"/>
    <x v="80"/>
    <x v="24"/>
    <x v="0"/>
    <x v="22"/>
  </r>
  <r>
    <x v="1"/>
    <x v="24"/>
    <x v="8"/>
    <x v="22"/>
    <x v="0"/>
    <x v="22"/>
    <x v="14"/>
    <x v="91"/>
    <x v="0"/>
    <x v="81"/>
    <x v="24"/>
    <x v="0"/>
    <x v="22"/>
  </r>
  <r>
    <x v="2"/>
    <x v="24"/>
    <x v="8"/>
    <x v="22"/>
    <x v="0"/>
    <x v="22"/>
    <x v="14"/>
    <x v="92"/>
    <x v="0"/>
    <x v="82"/>
    <x v="24"/>
    <x v="0"/>
    <x v="22"/>
  </r>
  <r>
    <x v="3"/>
    <x v="24"/>
    <x v="8"/>
    <x v="22"/>
    <x v="0"/>
    <x v="22"/>
    <x v="14"/>
    <x v="93"/>
    <x v="0"/>
    <x v="56"/>
    <x v="24"/>
    <x v="0"/>
    <x v="22"/>
  </r>
  <r>
    <x v="4"/>
    <x v="24"/>
    <x v="8"/>
    <x v="22"/>
    <x v="0"/>
    <x v="22"/>
    <x v="14"/>
    <x v="94"/>
    <x v="0"/>
    <x v="83"/>
    <x v="24"/>
    <x v="0"/>
    <x v="22"/>
  </r>
  <r>
    <x v="5"/>
    <x v="24"/>
    <x v="8"/>
    <x v="22"/>
    <x v="0"/>
    <x v="22"/>
    <x v="14"/>
    <x v="95"/>
    <x v="0"/>
    <x v="50"/>
    <x v="24"/>
    <x v="0"/>
    <x v="22"/>
  </r>
  <r>
    <x v="6"/>
    <x v="24"/>
    <x v="8"/>
    <x v="22"/>
    <x v="0"/>
    <x v="22"/>
    <x v="14"/>
    <x v="96"/>
    <x v="0"/>
    <x v="84"/>
    <x v="24"/>
    <x v="0"/>
    <x v="22"/>
  </r>
  <r>
    <x v="3"/>
    <x v="25"/>
    <x v="8"/>
    <x v="13"/>
    <x v="12"/>
    <x v="23"/>
    <x v="15"/>
    <x v="97"/>
    <x v="0"/>
    <x v="85"/>
    <x v="25"/>
    <x v="1"/>
    <x v="23"/>
  </r>
  <r>
    <x v="4"/>
    <x v="25"/>
    <x v="8"/>
    <x v="13"/>
    <x v="12"/>
    <x v="23"/>
    <x v="15"/>
    <x v="98"/>
    <x v="0"/>
    <x v="86"/>
    <x v="25"/>
    <x v="2"/>
    <x v="23"/>
  </r>
  <r>
    <x v="5"/>
    <x v="25"/>
    <x v="8"/>
    <x v="13"/>
    <x v="12"/>
    <x v="23"/>
    <x v="15"/>
    <x v="99"/>
    <x v="0"/>
    <x v="87"/>
    <x v="25"/>
    <x v="2"/>
    <x v="23"/>
  </r>
  <r>
    <x v="6"/>
    <x v="25"/>
    <x v="8"/>
    <x v="13"/>
    <x v="12"/>
    <x v="23"/>
    <x v="15"/>
    <x v="100"/>
    <x v="0"/>
    <x v="88"/>
    <x v="25"/>
    <x v="2"/>
    <x v="23"/>
  </r>
  <r>
    <x v="4"/>
    <x v="26"/>
    <x v="8"/>
    <x v="23"/>
    <x v="12"/>
    <x v="24"/>
    <x v="16"/>
    <x v="101"/>
    <x v="10"/>
    <x v="89"/>
    <x v="26"/>
    <x v="0"/>
    <x v="24"/>
  </r>
  <r>
    <x v="5"/>
    <x v="26"/>
    <x v="8"/>
    <x v="23"/>
    <x v="12"/>
    <x v="24"/>
    <x v="16"/>
    <x v="102"/>
    <x v="10"/>
    <x v="90"/>
    <x v="26"/>
    <x v="2"/>
    <x v="24"/>
  </r>
  <r>
    <x v="6"/>
    <x v="26"/>
    <x v="8"/>
    <x v="23"/>
    <x v="12"/>
    <x v="24"/>
    <x v="16"/>
    <x v="103"/>
    <x v="10"/>
    <x v="91"/>
    <x v="26"/>
    <x v="2"/>
    <x v="24"/>
  </r>
  <r>
    <x v="1"/>
    <x v="27"/>
    <x v="9"/>
    <x v="24"/>
    <x v="10"/>
    <x v="22"/>
    <x v="17"/>
    <x v="104"/>
    <x v="0"/>
    <x v="92"/>
    <x v="27"/>
    <x v="0"/>
    <x v="25"/>
  </r>
  <r>
    <x v="2"/>
    <x v="27"/>
    <x v="9"/>
    <x v="24"/>
    <x v="10"/>
    <x v="22"/>
    <x v="17"/>
    <x v="105"/>
    <x v="0"/>
    <x v="93"/>
    <x v="27"/>
    <x v="0"/>
    <x v="25"/>
  </r>
  <r>
    <x v="3"/>
    <x v="27"/>
    <x v="9"/>
    <x v="24"/>
    <x v="10"/>
    <x v="22"/>
    <x v="17"/>
    <x v="106"/>
    <x v="0"/>
    <x v="94"/>
    <x v="27"/>
    <x v="0"/>
    <x v="25"/>
  </r>
  <r>
    <x v="4"/>
    <x v="27"/>
    <x v="9"/>
    <x v="24"/>
    <x v="10"/>
    <x v="22"/>
    <x v="17"/>
    <x v="107"/>
    <x v="0"/>
    <x v="95"/>
    <x v="27"/>
    <x v="0"/>
    <x v="25"/>
  </r>
  <r>
    <x v="5"/>
    <x v="27"/>
    <x v="9"/>
    <x v="24"/>
    <x v="10"/>
    <x v="22"/>
    <x v="17"/>
    <x v="108"/>
    <x v="0"/>
    <x v="51"/>
    <x v="27"/>
    <x v="0"/>
    <x v="25"/>
  </r>
  <r>
    <x v="6"/>
    <x v="27"/>
    <x v="9"/>
    <x v="24"/>
    <x v="10"/>
    <x v="22"/>
    <x v="17"/>
    <x v="109"/>
    <x v="0"/>
    <x v="96"/>
    <x v="27"/>
    <x v="0"/>
    <x v="25"/>
  </r>
  <r>
    <x v="4"/>
    <x v="28"/>
    <x v="10"/>
    <x v="25"/>
    <x v="10"/>
    <x v="25"/>
    <x v="18"/>
    <x v="110"/>
    <x v="0"/>
    <x v="96"/>
    <x v="28"/>
    <x v="0"/>
    <x v="26"/>
  </r>
  <r>
    <x v="5"/>
    <x v="28"/>
    <x v="10"/>
    <x v="25"/>
    <x v="10"/>
    <x v="25"/>
    <x v="18"/>
    <x v="111"/>
    <x v="0"/>
    <x v="80"/>
    <x v="28"/>
    <x v="0"/>
    <x v="26"/>
  </r>
  <r>
    <x v="6"/>
    <x v="28"/>
    <x v="10"/>
    <x v="25"/>
    <x v="10"/>
    <x v="25"/>
    <x v="18"/>
    <x v="112"/>
    <x v="0"/>
    <x v="97"/>
    <x v="28"/>
    <x v="0"/>
    <x v="26"/>
  </r>
  <r>
    <x v="5"/>
    <x v="29"/>
    <x v="10"/>
    <x v="26"/>
    <x v="10"/>
    <x v="26"/>
    <x v="19"/>
    <x v="113"/>
    <x v="0"/>
    <x v="98"/>
    <x v="29"/>
    <x v="0"/>
    <x v="19"/>
  </r>
  <r>
    <x v="6"/>
    <x v="29"/>
    <x v="10"/>
    <x v="26"/>
    <x v="10"/>
    <x v="26"/>
    <x v="19"/>
    <x v="114"/>
    <x v="0"/>
    <x v="99"/>
    <x v="29"/>
    <x v="0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17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1"/>
    <x v="1"/>
    <x v="1"/>
    <x v="1"/>
    <x v="0"/>
    <x v="1"/>
    <x v="1"/>
    <x v="0"/>
  </r>
  <r>
    <x v="2"/>
    <x v="0"/>
    <x v="0"/>
    <x v="0"/>
    <x v="0"/>
    <x v="2"/>
    <x v="2"/>
    <x v="2"/>
    <x v="2"/>
    <x v="2"/>
    <x v="0"/>
    <x v="2"/>
    <x v="2"/>
    <x v="0"/>
  </r>
  <r>
    <x v="3"/>
    <x v="0"/>
    <x v="0"/>
    <x v="0"/>
    <x v="0"/>
    <x v="3"/>
    <x v="3"/>
    <x v="3"/>
    <x v="3"/>
    <x v="3"/>
    <x v="0"/>
    <x v="3"/>
    <x v="3"/>
    <x v="0"/>
  </r>
  <r>
    <x v="4"/>
    <x v="0"/>
    <x v="0"/>
    <x v="0"/>
    <x v="0"/>
    <x v="4"/>
    <x v="4"/>
    <x v="4"/>
    <x v="4"/>
    <x v="4"/>
    <x v="0"/>
    <x v="4"/>
    <x v="4"/>
    <x v="0"/>
  </r>
  <r>
    <x v="5"/>
    <x v="0"/>
    <x v="0"/>
    <x v="0"/>
    <x v="0"/>
    <x v="5"/>
    <x v="5"/>
    <x v="5"/>
    <x v="5"/>
    <x v="5"/>
    <x v="0"/>
    <x v="5"/>
    <x v="5"/>
    <x v="0"/>
  </r>
  <r>
    <x v="6"/>
    <x v="0"/>
    <x v="0"/>
    <x v="0"/>
    <x v="0"/>
    <x v="6"/>
    <x v="6"/>
    <x v="6"/>
    <x v="6"/>
    <x v="6"/>
    <x v="0"/>
    <x v="6"/>
    <x v="6"/>
    <x v="0"/>
  </r>
  <r>
    <x v="7"/>
    <x v="0"/>
    <x v="0"/>
    <x v="0"/>
    <x v="0"/>
    <x v="7"/>
    <x v="4"/>
    <x v="7"/>
    <x v="7"/>
    <x v="7"/>
    <x v="0"/>
    <x v="7"/>
    <x v="7"/>
    <x v="0"/>
  </r>
  <r>
    <x v="8"/>
    <x v="0"/>
    <x v="0"/>
    <x v="0"/>
    <x v="0"/>
    <x v="8"/>
    <x v="7"/>
    <x v="8"/>
    <x v="8"/>
    <x v="8"/>
    <x v="0"/>
    <x v="8"/>
    <x v="8"/>
    <x v="0"/>
  </r>
  <r>
    <x v="9"/>
    <x v="0"/>
    <x v="0"/>
    <x v="0"/>
    <x v="0"/>
    <x v="9"/>
    <x v="8"/>
    <x v="9"/>
    <x v="9"/>
    <x v="9"/>
    <x v="0"/>
    <x v="9"/>
    <x v="9"/>
    <x v="0"/>
  </r>
  <r>
    <x v="10"/>
    <x v="0"/>
    <x v="0"/>
    <x v="0"/>
    <x v="0"/>
    <x v="10"/>
    <x v="9"/>
    <x v="10"/>
    <x v="10"/>
    <x v="10"/>
    <x v="0"/>
    <x v="10"/>
    <x v="10"/>
    <x v="0"/>
  </r>
  <r>
    <x v="11"/>
    <x v="0"/>
    <x v="0"/>
    <x v="0"/>
    <x v="0"/>
    <x v="11"/>
    <x v="10"/>
    <x v="11"/>
    <x v="11"/>
    <x v="11"/>
    <x v="0"/>
    <x v="11"/>
    <x v="11"/>
    <x v="0"/>
  </r>
  <r>
    <x v="12"/>
    <x v="0"/>
    <x v="0"/>
    <x v="0"/>
    <x v="0"/>
    <x v="12"/>
    <x v="11"/>
    <x v="12"/>
    <x v="12"/>
    <x v="12"/>
    <x v="0"/>
    <x v="12"/>
    <x v="12"/>
    <x v="0"/>
  </r>
  <r>
    <x v="13"/>
    <x v="0"/>
    <x v="0"/>
    <x v="0"/>
    <x v="0"/>
    <x v="13"/>
    <x v="12"/>
    <x v="13"/>
    <x v="13"/>
    <x v="13"/>
    <x v="0"/>
    <x v="13"/>
    <x v="13"/>
    <x v="0"/>
  </r>
  <r>
    <x v="14"/>
    <x v="0"/>
    <x v="0"/>
    <x v="0"/>
    <x v="0"/>
    <x v="14"/>
    <x v="13"/>
    <x v="14"/>
    <x v="14"/>
    <x v="14"/>
    <x v="0"/>
    <x v="14"/>
    <x v="14"/>
    <x v="0"/>
  </r>
  <r>
    <x v="15"/>
    <x v="0"/>
    <x v="0"/>
    <x v="0"/>
    <x v="0"/>
    <x v="15"/>
    <x v="14"/>
    <x v="15"/>
    <x v="15"/>
    <x v="15"/>
    <x v="1"/>
    <x v="15"/>
    <x v="15"/>
    <x v="0"/>
  </r>
  <r>
    <x v="16"/>
    <x v="0"/>
    <x v="0"/>
    <x v="0"/>
    <x v="0"/>
    <x v="16"/>
    <x v="15"/>
    <x v="16"/>
    <x v="16"/>
    <x v="16"/>
    <x v="1"/>
    <x v="10"/>
    <x v="16"/>
    <x v="0"/>
  </r>
  <r>
    <x v="0"/>
    <x v="1"/>
    <x v="1"/>
    <x v="1"/>
    <x v="0"/>
    <x v="17"/>
    <x v="6"/>
    <x v="17"/>
    <x v="17"/>
    <x v="17"/>
    <x v="0"/>
    <x v="16"/>
    <x v="17"/>
    <x v="0"/>
  </r>
  <r>
    <x v="1"/>
    <x v="1"/>
    <x v="1"/>
    <x v="1"/>
    <x v="0"/>
    <x v="18"/>
    <x v="16"/>
    <x v="18"/>
    <x v="18"/>
    <x v="18"/>
    <x v="0"/>
    <x v="17"/>
    <x v="18"/>
    <x v="0"/>
  </r>
  <r>
    <x v="2"/>
    <x v="1"/>
    <x v="1"/>
    <x v="1"/>
    <x v="0"/>
    <x v="19"/>
    <x v="17"/>
    <x v="19"/>
    <x v="19"/>
    <x v="19"/>
    <x v="0"/>
    <x v="18"/>
    <x v="19"/>
    <x v="0"/>
  </r>
  <r>
    <x v="3"/>
    <x v="1"/>
    <x v="1"/>
    <x v="1"/>
    <x v="0"/>
    <x v="20"/>
    <x v="18"/>
    <x v="20"/>
    <x v="20"/>
    <x v="20"/>
    <x v="0"/>
    <x v="19"/>
    <x v="20"/>
    <x v="0"/>
  </r>
  <r>
    <x v="4"/>
    <x v="1"/>
    <x v="1"/>
    <x v="1"/>
    <x v="0"/>
    <x v="21"/>
    <x v="19"/>
    <x v="21"/>
    <x v="21"/>
    <x v="21"/>
    <x v="0"/>
    <x v="20"/>
    <x v="21"/>
    <x v="0"/>
  </r>
  <r>
    <x v="5"/>
    <x v="1"/>
    <x v="1"/>
    <x v="1"/>
    <x v="0"/>
    <x v="22"/>
    <x v="19"/>
    <x v="22"/>
    <x v="22"/>
    <x v="22"/>
    <x v="0"/>
    <x v="21"/>
    <x v="22"/>
    <x v="0"/>
  </r>
  <r>
    <x v="6"/>
    <x v="1"/>
    <x v="1"/>
    <x v="1"/>
    <x v="0"/>
    <x v="23"/>
    <x v="19"/>
    <x v="23"/>
    <x v="23"/>
    <x v="23"/>
    <x v="0"/>
    <x v="22"/>
    <x v="23"/>
    <x v="0"/>
  </r>
  <r>
    <x v="7"/>
    <x v="1"/>
    <x v="1"/>
    <x v="1"/>
    <x v="0"/>
    <x v="24"/>
    <x v="20"/>
    <x v="24"/>
    <x v="24"/>
    <x v="24"/>
    <x v="0"/>
    <x v="23"/>
    <x v="24"/>
    <x v="0"/>
  </r>
  <r>
    <x v="8"/>
    <x v="1"/>
    <x v="1"/>
    <x v="1"/>
    <x v="0"/>
    <x v="25"/>
    <x v="21"/>
    <x v="25"/>
    <x v="25"/>
    <x v="25"/>
    <x v="0"/>
    <x v="24"/>
    <x v="25"/>
    <x v="0"/>
  </r>
  <r>
    <x v="9"/>
    <x v="1"/>
    <x v="1"/>
    <x v="1"/>
    <x v="0"/>
    <x v="26"/>
    <x v="22"/>
    <x v="26"/>
    <x v="26"/>
    <x v="26"/>
    <x v="0"/>
    <x v="25"/>
    <x v="26"/>
    <x v="0"/>
  </r>
  <r>
    <x v="10"/>
    <x v="1"/>
    <x v="1"/>
    <x v="1"/>
    <x v="0"/>
    <x v="27"/>
    <x v="23"/>
    <x v="27"/>
    <x v="27"/>
    <x v="27"/>
    <x v="0"/>
    <x v="26"/>
    <x v="27"/>
    <x v="0"/>
  </r>
  <r>
    <x v="11"/>
    <x v="1"/>
    <x v="1"/>
    <x v="1"/>
    <x v="0"/>
    <x v="28"/>
    <x v="24"/>
    <x v="28"/>
    <x v="28"/>
    <x v="28"/>
    <x v="0"/>
    <x v="27"/>
    <x v="28"/>
    <x v="0"/>
  </r>
  <r>
    <x v="12"/>
    <x v="1"/>
    <x v="1"/>
    <x v="1"/>
    <x v="0"/>
    <x v="29"/>
    <x v="25"/>
    <x v="29"/>
    <x v="29"/>
    <x v="29"/>
    <x v="0"/>
    <x v="28"/>
    <x v="29"/>
    <x v="0"/>
  </r>
  <r>
    <x v="13"/>
    <x v="1"/>
    <x v="1"/>
    <x v="1"/>
    <x v="0"/>
    <x v="30"/>
    <x v="22"/>
    <x v="30"/>
    <x v="30"/>
    <x v="30"/>
    <x v="0"/>
    <x v="29"/>
    <x v="30"/>
    <x v="0"/>
  </r>
  <r>
    <x v="14"/>
    <x v="1"/>
    <x v="1"/>
    <x v="1"/>
    <x v="0"/>
    <x v="31"/>
    <x v="26"/>
    <x v="31"/>
    <x v="31"/>
    <x v="31"/>
    <x v="0"/>
    <x v="30"/>
    <x v="31"/>
    <x v="0"/>
  </r>
  <r>
    <x v="15"/>
    <x v="1"/>
    <x v="1"/>
    <x v="1"/>
    <x v="0"/>
    <x v="32"/>
    <x v="27"/>
    <x v="32"/>
    <x v="32"/>
    <x v="32"/>
    <x v="1"/>
    <x v="31"/>
    <x v="32"/>
    <x v="0"/>
  </r>
  <r>
    <x v="16"/>
    <x v="1"/>
    <x v="1"/>
    <x v="1"/>
    <x v="0"/>
    <x v="33"/>
    <x v="28"/>
    <x v="33"/>
    <x v="33"/>
    <x v="33"/>
    <x v="1"/>
    <x v="32"/>
    <x v="33"/>
    <x v="0"/>
  </r>
  <r>
    <x v="0"/>
    <x v="2"/>
    <x v="2"/>
    <x v="2"/>
    <x v="0"/>
    <x v="34"/>
    <x v="29"/>
    <x v="34"/>
    <x v="18"/>
    <x v="34"/>
    <x v="0"/>
    <x v="33"/>
    <x v="34"/>
    <x v="0"/>
  </r>
  <r>
    <x v="1"/>
    <x v="2"/>
    <x v="2"/>
    <x v="2"/>
    <x v="0"/>
    <x v="35"/>
    <x v="30"/>
    <x v="35"/>
    <x v="18"/>
    <x v="35"/>
    <x v="0"/>
    <x v="34"/>
    <x v="35"/>
    <x v="0"/>
  </r>
  <r>
    <x v="2"/>
    <x v="2"/>
    <x v="2"/>
    <x v="2"/>
    <x v="0"/>
    <x v="36"/>
    <x v="31"/>
    <x v="36"/>
    <x v="34"/>
    <x v="36"/>
    <x v="0"/>
    <x v="35"/>
    <x v="36"/>
    <x v="0"/>
  </r>
  <r>
    <x v="3"/>
    <x v="2"/>
    <x v="2"/>
    <x v="2"/>
    <x v="0"/>
    <x v="37"/>
    <x v="32"/>
    <x v="37"/>
    <x v="35"/>
    <x v="37"/>
    <x v="0"/>
    <x v="36"/>
    <x v="37"/>
    <x v="0"/>
  </r>
  <r>
    <x v="4"/>
    <x v="2"/>
    <x v="2"/>
    <x v="2"/>
    <x v="0"/>
    <x v="38"/>
    <x v="33"/>
    <x v="38"/>
    <x v="36"/>
    <x v="38"/>
    <x v="0"/>
    <x v="37"/>
    <x v="38"/>
    <x v="0"/>
  </r>
  <r>
    <x v="5"/>
    <x v="2"/>
    <x v="2"/>
    <x v="2"/>
    <x v="0"/>
    <x v="39"/>
    <x v="3"/>
    <x v="39"/>
    <x v="37"/>
    <x v="39"/>
    <x v="0"/>
    <x v="38"/>
    <x v="39"/>
    <x v="0"/>
  </r>
  <r>
    <x v="6"/>
    <x v="2"/>
    <x v="2"/>
    <x v="2"/>
    <x v="0"/>
    <x v="40"/>
    <x v="9"/>
    <x v="40"/>
    <x v="38"/>
    <x v="40"/>
    <x v="0"/>
    <x v="39"/>
    <x v="40"/>
    <x v="0"/>
  </r>
  <r>
    <x v="7"/>
    <x v="2"/>
    <x v="2"/>
    <x v="2"/>
    <x v="0"/>
    <x v="41"/>
    <x v="11"/>
    <x v="41"/>
    <x v="39"/>
    <x v="41"/>
    <x v="0"/>
    <x v="40"/>
    <x v="41"/>
    <x v="0"/>
  </r>
  <r>
    <x v="8"/>
    <x v="2"/>
    <x v="2"/>
    <x v="2"/>
    <x v="0"/>
    <x v="42"/>
    <x v="31"/>
    <x v="42"/>
    <x v="40"/>
    <x v="42"/>
    <x v="0"/>
    <x v="41"/>
    <x v="42"/>
    <x v="0"/>
  </r>
  <r>
    <x v="9"/>
    <x v="2"/>
    <x v="2"/>
    <x v="2"/>
    <x v="0"/>
    <x v="40"/>
    <x v="34"/>
    <x v="43"/>
    <x v="38"/>
    <x v="40"/>
    <x v="0"/>
    <x v="39"/>
    <x v="40"/>
    <x v="0"/>
  </r>
  <r>
    <x v="10"/>
    <x v="2"/>
    <x v="2"/>
    <x v="2"/>
    <x v="0"/>
    <x v="43"/>
    <x v="13"/>
    <x v="44"/>
    <x v="41"/>
    <x v="43"/>
    <x v="0"/>
    <x v="42"/>
    <x v="43"/>
    <x v="0"/>
  </r>
  <r>
    <x v="11"/>
    <x v="2"/>
    <x v="2"/>
    <x v="2"/>
    <x v="0"/>
    <x v="44"/>
    <x v="35"/>
    <x v="45"/>
    <x v="42"/>
    <x v="44"/>
    <x v="0"/>
    <x v="43"/>
    <x v="44"/>
    <x v="0"/>
  </r>
  <r>
    <x v="12"/>
    <x v="2"/>
    <x v="2"/>
    <x v="2"/>
    <x v="0"/>
    <x v="45"/>
    <x v="36"/>
    <x v="46"/>
    <x v="43"/>
    <x v="45"/>
    <x v="0"/>
    <x v="10"/>
    <x v="45"/>
    <x v="0"/>
  </r>
  <r>
    <x v="13"/>
    <x v="2"/>
    <x v="2"/>
    <x v="2"/>
    <x v="0"/>
    <x v="46"/>
    <x v="37"/>
    <x v="47"/>
    <x v="44"/>
    <x v="46"/>
    <x v="0"/>
    <x v="44"/>
    <x v="46"/>
    <x v="0"/>
  </r>
  <r>
    <x v="14"/>
    <x v="2"/>
    <x v="2"/>
    <x v="2"/>
    <x v="0"/>
    <x v="47"/>
    <x v="38"/>
    <x v="48"/>
    <x v="22"/>
    <x v="22"/>
    <x v="0"/>
    <x v="45"/>
    <x v="47"/>
    <x v="0"/>
  </r>
  <r>
    <x v="15"/>
    <x v="2"/>
    <x v="2"/>
    <x v="2"/>
    <x v="0"/>
    <x v="48"/>
    <x v="39"/>
    <x v="49"/>
    <x v="45"/>
    <x v="47"/>
    <x v="1"/>
    <x v="46"/>
    <x v="48"/>
    <x v="0"/>
  </r>
  <r>
    <x v="16"/>
    <x v="2"/>
    <x v="2"/>
    <x v="2"/>
    <x v="0"/>
    <x v="49"/>
    <x v="40"/>
    <x v="50"/>
    <x v="46"/>
    <x v="48"/>
    <x v="1"/>
    <x v="47"/>
    <x v="49"/>
    <x v="0"/>
  </r>
  <r>
    <x v="0"/>
    <x v="3"/>
    <x v="3"/>
    <x v="0"/>
    <x v="0"/>
    <x v="50"/>
    <x v="41"/>
    <x v="51"/>
    <x v="35"/>
    <x v="49"/>
    <x v="0"/>
    <x v="48"/>
    <x v="50"/>
    <x v="0"/>
  </r>
  <r>
    <x v="1"/>
    <x v="3"/>
    <x v="3"/>
    <x v="0"/>
    <x v="0"/>
    <x v="51"/>
    <x v="29"/>
    <x v="52"/>
    <x v="35"/>
    <x v="50"/>
    <x v="0"/>
    <x v="49"/>
    <x v="51"/>
    <x v="0"/>
  </r>
  <r>
    <x v="2"/>
    <x v="3"/>
    <x v="3"/>
    <x v="0"/>
    <x v="0"/>
    <x v="50"/>
    <x v="22"/>
    <x v="52"/>
    <x v="35"/>
    <x v="49"/>
    <x v="0"/>
    <x v="48"/>
    <x v="50"/>
    <x v="0"/>
  </r>
  <r>
    <x v="3"/>
    <x v="3"/>
    <x v="3"/>
    <x v="0"/>
    <x v="0"/>
    <x v="38"/>
    <x v="42"/>
    <x v="53"/>
    <x v="36"/>
    <x v="38"/>
    <x v="0"/>
    <x v="37"/>
    <x v="38"/>
    <x v="0"/>
  </r>
  <r>
    <x v="4"/>
    <x v="3"/>
    <x v="3"/>
    <x v="0"/>
    <x v="0"/>
    <x v="52"/>
    <x v="19"/>
    <x v="38"/>
    <x v="36"/>
    <x v="51"/>
    <x v="0"/>
    <x v="50"/>
    <x v="52"/>
    <x v="0"/>
  </r>
  <r>
    <x v="5"/>
    <x v="3"/>
    <x v="3"/>
    <x v="0"/>
    <x v="0"/>
    <x v="53"/>
    <x v="37"/>
    <x v="53"/>
    <x v="47"/>
    <x v="52"/>
    <x v="0"/>
    <x v="51"/>
    <x v="53"/>
    <x v="0"/>
  </r>
  <r>
    <x v="6"/>
    <x v="3"/>
    <x v="3"/>
    <x v="0"/>
    <x v="0"/>
    <x v="54"/>
    <x v="43"/>
    <x v="54"/>
    <x v="48"/>
    <x v="53"/>
    <x v="0"/>
    <x v="52"/>
    <x v="54"/>
    <x v="0"/>
  </r>
  <r>
    <x v="7"/>
    <x v="3"/>
    <x v="3"/>
    <x v="0"/>
    <x v="0"/>
    <x v="55"/>
    <x v="44"/>
    <x v="55"/>
    <x v="49"/>
    <x v="54"/>
    <x v="0"/>
    <x v="53"/>
    <x v="55"/>
    <x v="0"/>
  </r>
  <r>
    <x v="8"/>
    <x v="3"/>
    <x v="3"/>
    <x v="0"/>
    <x v="0"/>
    <x v="56"/>
    <x v="45"/>
    <x v="56"/>
    <x v="37"/>
    <x v="55"/>
    <x v="0"/>
    <x v="54"/>
    <x v="56"/>
    <x v="0"/>
  </r>
  <r>
    <x v="9"/>
    <x v="3"/>
    <x v="3"/>
    <x v="0"/>
    <x v="0"/>
    <x v="57"/>
    <x v="33"/>
    <x v="57"/>
    <x v="20"/>
    <x v="56"/>
    <x v="0"/>
    <x v="55"/>
    <x v="57"/>
    <x v="0"/>
  </r>
  <r>
    <x v="10"/>
    <x v="3"/>
    <x v="3"/>
    <x v="0"/>
    <x v="0"/>
    <x v="58"/>
    <x v="46"/>
    <x v="58"/>
    <x v="40"/>
    <x v="57"/>
    <x v="0"/>
    <x v="56"/>
    <x v="58"/>
    <x v="0"/>
  </r>
  <r>
    <x v="11"/>
    <x v="3"/>
    <x v="3"/>
    <x v="0"/>
    <x v="0"/>
    <x v="59"/>
    <x v="12"/>
    <x v="59"/>
    <x v="50"/>
    <x v="58"/>
    <x v="0"/>
    <x v="57"/>
    <x v="59"/>
    <x v="0"/>
  </r>
  <r>
    <x v="12"/>
    <x v="3"/>
    <x v="3"/>
    <x v="0"/>
    <x v="0"/>
    <x v="60"/>
    <x v="47"/>
    <x v="60"/>
    <x v="51"/>
    <x v="59"/>
    <x v="0"/>
    <x v="58"/>
    <x v="45"/>
    <x v="0"/>
  </r>
  <r>
    <x v="13"/>
    <x v="3"/>
    <x v="3"/>
    <x v="0"/>
    <x v="0"/>
    <x v="61"/>
    <x v="48"/>
    <x v="61"/>
    <x v="52"/>
    <x v="60"/>
    <x v="0"/>
    <x v="59"/>
    <x v="60"/>
    <x v="0"/>
  </r>
  <r>
    <x v="14"/>
    <x v="3"/>
    <x v="3"/>
    <x v="0"/>
    <x v="0"/>
    <x v="62"/>
    <x v="49"/>
    <x v="58"/>
    <x v="46"/>
    <x v="48"/>
    <x v="0"/>
    <x v="60"/>
    <x v="61"/>
    <x v="0"/>
  </r>
  <r>
    <x v="15"/>
    <x v="3"/>
    <x v="3"/>
    <x v="0"/>
    <x v="0"/>
    <x v="63"/>
    <x v="45"/>
    <x v="62"/>
    <x v="53"/>
    <x v="61"/>
    <x v="1"/>
    <x v="21"/>
    <x v="62"/>
    <x v="0"/>
  </r>
  <r>
    <x v="16"/>
    <x v="3"/>
    <x v="3"/>
    <x v="0"/>
    <x v="0"/>
    <x v="64"/>
    <x v="38"/>
    <x v="63"/>
    <x v="53"/>
    <x v="62"/>
    <x v="1"/>
    <x v="61"/>
    <x v="63"/>
    <x v="0"/>
  </r>
  <r>
    <x v="0"/>
    <x v="4"/>
    <x v="4"/>
    <x v="3"/>
    <x v="0"/>
    <x v="65"/>
    <x v="50"/>
    <x v="64"/>
    <x v="54"/>
    <x v="63"/>
    <x v="0"/>
    <x v="62"/>
    <x v="64"/>
    <x v="0"/>
  </r>
  <r>
    <x v="1"/>
    <x v="4"/>
    <x v="4"/>
    <x v="3"/>
    <x v="0"/>
    <x v="66"/>
    <x v="51"/>
    <x v="65"/>
    <x v="55"/>
    <x v="64"/>
    <x v="0"/>
    <x v="63"/>
    <x v="65"/>
    <x v="0"/>
  </r>
  <r>
    <x v="2"/>
    <x v="4"/>
    <x v="4"/>
    <x v="3"/>
    <x v="0"/>
    <x v="67"/>
    <x v="38"/>
    <x v="64"/>
    <x v="55"/>
    <x v="65"/>
    <x v="0"/>
    <x v="64"/>
    <x v="66"/>
    <x v="0"/>
  </r>
  <r>
    <x v="3"/>
    <x v="4"/>
    <x v="4"/>
    <x v="3"/>
    <x v="0"/>
    <x v="68"/>
    <x v="52"/>
    <x v="66"/>
    <x v="55"/>
    <x v="66"/>
    <x v="0"/>
    <x v="65"/>
    <x v="67"/>
    <x v="0"/>
  </r>
  <r>
    <x v="4"/>
    <x v="4"/>
    <x v="4"/>
    <x v="3"/>
    <x v="0"/>
    <x v="69"/>
    <x v="14"/>
    <x v="67"/>
    <x v="56"/>
    <x v="67"/>
    <x v="0"/>
    <x v="66"/>
    <x v="68"/>
    <x v="0"/>
  </r>
  <r>
    <x v="5"/>
    <x v="4"/>
    <x v="4"/>
    <x v="3"/>
    <x v="0"/>
    <x v="70"/>
    <x v="53"/>
    <x v="68"/>
    <x v="57"/>
    <x v="68"/>
    <x v="0"/>
    <x v="67"/>
    <x v="51"/>
    <x v="0"/>
  </r>
  <r>
    <x v="6"/>
    <x v="4"/>
    <x v="4"/>
    <x v="3"/>
    <x v="0"/>
    <x v="71"/>
    <x v="33"/>
    <x v="69"/>
    <x v="58"/>
    <x v="69"/>
    <x v="0"/>
    <x v="68"/>
    <x v="69"/>
    <x v="0"/>
  </r>
  <r>
    <x v="7"/>
    <x v="4"/>
    <x v="4"/>
    <x v="3"/>
    <x v="0"/>
    <x v="72"/>
    <x v="0"/>
    <x v="70"/>
    <x v="17"/>
    <x v="70"/>
    <x v="0"/>
    <x v="41"/>
    <x v="70"/>
    <x v="0"/>
  </r>
  <r>
    <x v="8"/>
    <x v="4"/>
    <x v="4"/>
    <x v="3"/>
    <x v="0"/>
    <x v="73"/>
    <x v="54"/>
    <x v="71"/>
    <x v="59"/>
    <x v="71"/>
    <x v="0"/>
    <x v="69"/>
    <x v="71"/>
    <x v="0"/>
  </r>
  <r>
    <x v="9"/>
    <x v="4"/>
    <x v="4"/>
    <x v="3"/>
    <x v="0"/>
    <x v="74"/>
    <x v="55"/>
    <x v="36"/>
    <x v="18"/>
    <x v="72"/>
    <x v="0"/>
    <x v="70"/>
    <x v="72"/>
    <x v="0"/>
  </r>
  <r>
    <x v="10"/>
    <x v="4"/>
    <x v="4"/>
    <x v="3"/>
    <x v="0"/>
    <x v="75"/>
    <x v="25"/>
    <x v="72"/>
    <x v="60"/>
    <x v="73"/>
    <x v="0"/>
    <x v="71"/>
    <x v="73"/>
    <x v="0"/>
  </r>
  <r>
    <x v="11"/>
    <x v="4"/>
    <x v="4"/>
    <x v="3"/>
    <x v="0"/>
    <x v="76"/>
    <x v="47"/>
    <x v="73"/>
    <x v="38"/>
    <x v="74"/>
    <x v="0"/>
    <x v="72"/>
    <x v="74"/>
    <x v="0"/>
  </r>
  <r>
    <x v="12"/>
    <x v="4"/>
    <x v="4"/>
    <x v="3"/>
    <x v="0"/>
    <x v="77"/>
    <x v="56"/>
    <x v="74"/>
    <x v="61"/>
    <x v="75"/>
    <x v="0"/>
    <x v="73"/>
    <x v="75"/>
    <x v="0"/>
  </r>
  <r>
    <x v="13"/>
    <x v="4"/>
    <x v="4"/>
    <x v="3"/>
    <x v="0"/>
    <x v="78"/>
    <x v="16"/>
    <x v="75"/>
    <x v="62"/>
    <x v="76"/>
    <x v="0"/>
    <x v="74"/>
    <x v="76"/>
    <x v="0"/>
  </r>
  <r>
    <x v="14"/>
    <x v="4"/>
    <x v="4"/>
    <x v="3"/>
    <x v="0"/>
    <x v="79"/>
    <x v="39"/>
    <x v="76"/>
    <x v="63"/>
    <x v="77"/>
    <x v="0"/>
    <x v="75"/>
    <x v="45"/>
    <x v="0"/>
  </r>
  <r>
    <x v="15"/>
    <x v="4"/>
    <x v="4"/>
    <x v="3"/>
    <x v="0"/>
    <x v="80"/>
    <x v="57"/>
    <x v="77"/>
    <x v="64"/>
    <x v="78"/>
    <x v="1"/>
    <x v="54"/>
    <x v="77"/>
    <x v="0"/>
  </r>
  <r>
    <x v="16"/>
    <x v="4"/>
    <x v="4"/>
    <x v="3"/>
    <x v="0"/>
    <x v="81"/>
    <x v="8"/>
    <x v="78"/>
    <x v="65"/>
    <x v="79"/>
    <x v="1"/>
    <x v="76"/>
    <x v="78"/>
    <x v="0"/>
  </r>
  <r>
    <x v="0"/>
    <x v="5"/>
    <x v="5"/>
    <x v="2"/>
    <x v="1"/>
    <x v="82"/>
    <x v="58"/>
    <x v="79"/>
    <x v="66"/>
    <x v="80"/>
    <x v="0"/>
    <x v="77"/>
    <x v="79"/>
    <x v="1"/>
  </r>
  <r>
    <x v="1"/>
    <x v="5"/>
    <x v="5"/>
    <x v="2"/>
    <x v="1"/>
    <x v="83"/>
    <x v="59"/>
    <x v="80"/>
    <x v="67"/>
    <x v="80"/>
    <x v="0"/>
    <x v="78"/>
    <x v="80"/>
    <x v="1"/>
  </r>
  <r>
    <x v="2"/>
    <x v="5"/>
    <x v="5"/>
    <x v="2"/>
    <x v="1"/>
    <x v="84"/>
    <x v="60"/>
    <x v="43"/>
    <x v="30"/>
    <x v="81"/>
    <x v="0"/>
    <x v="79"/>
    <x v="81"/>
    <x v="1"/>
  </r>
  <r>
    <x v="3"/>
    <x v="5"/>
    <x v="5"/>
    <x v="2"/>
    <x v="1"/>
    <x v="85"/>
    <x v="60"/>
    <x v="61"/>
    <x v="68"/>
    <x v="82"/>
    <x v="0"/>
    <x v="80"/>
    <x v="82"/>
    <x v="1"/>
  </r>
  <r>
    <x v="4"/>
    <x v="5"/>
    <x v="5"/>
    <x v="2"/>
    <x v="1"/>
    <x v="86"/>
    <x v="61"/>
    <x v="81"/>
    <x v="69"/>
    <x v="82"/>
    <x v="0"/>
    <x v="81"/>
    <x v="83"/>
    <x v="1"/>
  </r>
  <r>
    <x v="5"/>
    <x v="5"/>
    <x v="5"/>
    <x v="2"/>
    <x v="1"/>
    <x v="87"/>
    <x v="62"/>
    <x v="82"/>
    <x v="70"/>
    <x v="83"/>
    <x v="0"/>
    <x v="81"/>
    <x v="83"/>
    <x v="1"/>
  </r>
  <r>
    <x v="6"/>
    <x v="5"/>
    <x v="5"/>
    <x v="2"/>
    <x v="1"/>
    <x v="88"/>
    <x v="63"/>
    <x v="83"/>
    <x v="71"/>
    <x v="84"/>
    <x v="0"/>
    <x v="82"/>
    <x v="84"/>
    <x v="1"/>
  </r>
  <r>
    <x v="7"/>
    <x v="5"/>
    <x v="5"/>
    <x v="2"/>
    <x v="1"/>
    <x v="89"/>
    <x v="64"/>
    <x v="84"/>
    <x v="72"/>
    <x v="85"/>
    <x v="0"/>
    <x v="81"/>
    <x v="85"/>
    <x v="1"/>
  </r>
  <r>
    <x v="8"/>
    <x v="5"/>
    <x v="5"/>
    <x v="2"/>
    <x v="1"/>
    <x v="90"/>
    <x v="59"/>
    <x v="85"/>
    <x v="73"/>
    <x v="86"/>
    <x v="0"/>
    <x v="83"/>
    <x v="86"/>
    <x v="1"/>
  </r>
  <r>
    <x v="9"/>
    <x v="5"/>
    <x v="5"/>
    <x v="2"/>
    <x v="1"/>
    <x v="91"/>
    <x v="65"/>
    <x v="86"/>
    <x v="74"/>
    <x v="87"/>
    <x v="0"/>
    <x v="84"/>
    <x v="87"/>
    <x v="1"/>
  </r>
  <r>
    <x v="10"/>
    <x v="5"/>
    <x v="5"/>
    <x v="2"/>
    <x v="1"/>
    <x v="92"/>
    <x v="66"/>
    <x v="87"/>
    <x v="75"/>
    <x v="88"/>
    <x v="0"/>
    <x v="85"/>
    <x v="88"/>
    <x v="1"/>
  </r>
  <r>
    <x v="11"/>
    <x v="5"/>
    <x v="5"/>
    <x v="2"/>
    <x v="1"/>
    <x v="93"/>
    <x v="67"/>
    <x v="88"/>
    <x v="76"/>
    <x v="89"/>
    <x v="0"/>
    <x v="81"/>
    <x v="89"/>
    <x v="1"/>
  </r>
  <r>
    <x v="12"/>
    <x v="5"/>
    <x v="5"/>
    <x v="2"/>
    <x v="1"/>
    <x v="94"/>
    <x v="68"/>
    <x v="89"/>
    <x v="77"/>
    <x v="90"/>
    <x v="0"/>
    <x v="81"/>
    <x v="90"/>
    <x v="1"/>
  </r>
  <r>
    <x v="13"/>
    <x v="5"/>
    <x v="5"/>
    <x v="2"/>
    <x v="1"/>
    <x v="95"/>
    <x v="69"/>
    <x v="90"/>
    <x v="78"/>
    <x v="91"/>
    <x v="0"/>
    <x v="86"/>
    <x v="91"/>
    <x v="1"/>
  </r>
  <r>
    <x v="14"/>
    <x v="5"/>
    <x v="5"/>
    <x v="2"/>
    <x v="1"/>
    <x v="96"/>
    <x v="70"/>
    <x v="91"/>
    <x v="79"/>
    <x v="92"/>
    <x v="0"/>
    <x v="81"/>
    <x v="92"/>
    <x v="1"/>
  </r>
  <r>
    <x v="15"/>
    <x v="5"/>
    <x v="5"/>
    <x v="2"/>
    <x v="1"/>
    <x v="97"/>
    <x v="71"/>
    <x v="92"/>
    <x v="80"/>
    <x v="93"/>
    <x v="1"/>
    <x v="87"/>
    <x v="93"/>
    <x v="1"/>
  </r>
  <r>
    <x v="16"/>
    <x v="5"/>
    <x v="5"/>
    <x v="2"/>
    <x v="1"/>
    <x v="98"/>
    <x v="72"/>
    <x v="93"/>
    <x v="81"/>
    <x v="94"/>
    <x v="1"/>
    <x v="81"/>
    <x v="94"/>
    <x v="1"/>
  </r>
  <r>
    <x v="0"/>
    <x v="6"/>
    <x v="6"/>
    <x v="2"/>
    <x v="2"/>
    <x v="99"/>
    <x v="73"/>
    <x v="94"/>
    <x v="82"/>
    <x v="95"/>
    <x v="0"/>
    <x v="88"/>
    <x v="95"/>
    <x v="1"/>
  </r>
  <r>
    <x v="1"/>
    <x v="6"/>
    <x v="6"/>
    <x v="2"/>
    <x v="2"/>
    <x v="100"/>
    <x v="74"/>
    <x v="95"/>
    <x v="69"/>
    <x v="96"/>
    <x v="0"/>
    <x v="89"/>
    <x v="96"/>
    <x v="1"/>
  </r>
  <r>
    <x v="2"/>
    <x v="6"/>
    <x v="6"/>
    <x v="2"/>
    <x v="2"/>
    <x v="101"/>
    <x v="75"/>
    <x v="96"/>
    <x v="0"/>
    <x v="97"/>
    <x v="0"/>
    <x v="90"/>
    <x v="97"/>
    <x v="1"/>
  </r>
  <r>
    <x v="3"/>
    <x v="6"/>
    <x v="6"/>
    <x v="2"/>
    <x v="2"/>
    <x v="56"/>
    <x v="76"/>
    <x v="97"/>
    <x v="83"/>
    <x v="98"/>
    <x v="0"/>
    <x v="91"/>
    <x v="98"/>
    <x v="1"/>
  </r>
  <r>
    <x v="4"/>
    <x v="6"/>
    <x v="6"/>
    <x v="2"/>
    <x v="2"/>
    <x v="102"/>
    <x v="77"/>
    <x v="98"/>
    <x v="84"/>
    <x v="99"/>
    <x v="0"/>
    <x v="89"/>
    <x v="99"/>
    <x v="1"/>
  </r>
  <r>
    <x v="5"/>
    <x v="6"/>
    <x v="6"/>
    <x v="2"/>
    <x v="2"/>
    <x v="103"/>
    <x v="78"/>
    <x v="99"/>
    <x v="85"/>
    <x v="100"/>
    <x v="0"/>
    <x v="92"/>
    <x v="100"/>
    <x v="1"/>
  </r>
  <r>
    <x v="6"/>
    <x v="6"/>
    <x v="6"/>
    <x v="2"/>
    <x v="2"/>
    <x v="104"/>
    <x v="79"/>
    <x v="100"/>
    <x v="86"/>
    <x v="101"/>
    <x v="0"/>
    <x v="93"/>
    <x v="101"/>
    <x v="1"/>
  </r>
  <r>
    <x v="7"/>
    <x v="6"/>
    <x v="6"/>
    <x v="2"/>
    <x v="2"/>
    <x v="105"/>
    <x v="80"/>
    <x v="101"/>
    <x v="87"/>
    <x v="102"/>
    <x v="0"/>
    <x v="94"/>
    <x v="102"/>
    <x v="1"/>
  </r>
  <r>
    <x v="8"/>
    <x v="6"/>
    <x v="6"/>
    <x v="2"/>
    <x v="2"/>
    <x v="106"/>
    <x v="81"/>
    <x v="35"/>
    <x v="88"/>
    <x v="103"/>
    <x v="0"/>
    <x v="95"/>
    <x v="103"/>
    <x v="1"/>
  </r>
  <r>
    <x v="9"/>
    <x v="6"/>
    <x v="6"/>
    <x v="2"/>
    <x v="2"/>
    <x v="107"/>
    <x v="82"/>
    <x v="102"/>
    <x v="89"/>
    <x v="64"/>
    <x v="0"/>
    <x v="96"/>
    <x v="104"/>
    <x v="1"/>
  </r>
  <r>
    <x v="10"/>
    <x v="6"/>
    <x v="6"/>
    <x v="2"/>
    <x v="2"/>
    <x v="108"/>
    <x v="81"/>
    <x v="103"/>
    <x v="90"/>
    <x v="104"/>
    <x v="0"/>
    <x v="97"/>
    <x v="105"/>
    <x v="1"/>
  </r>
  <r>
    <x v="11"/>
    <x v="6"/>
    <x v="6"/>
    <x v="2"/>
    <x v="2"/>
    <x v="109"/>
    <x v="83"/>
    <x v="104"/>
    <x v="91"/>
    <x v="105"/>
    <x v="0"/>
    <x v="98"/>
    <x v="106"/>
    <x v="1"/>
  </r>
  <r>
    <x v="12"/>
    <x v="6"/>
    <x v="6"/>
    <x v="2"/>
    <x v="2"/>
    <x v="110"/>
    <x v="84"/>
    <x v="105"/>
    <x v="92"/>
    <x v="106"/>
    <x v="0"/>
    <x v="89"/>
    <x v="99"/>
    <x v="1"/>
  </r>
  <r>
    <x v="13"/>
    <x v="6"/>
    <x v="6"/>
    <x v="2"/>
    <x v="2"/>
    <x v="111"/>
    <x v="85"/>
    <x v="106"/>
    <x v="93"/>
    <x v="107"/>
    <x v="0"/>
    <x v="99"/>
    <x v="107"/>
    <x v="1"/>
  </r>
  <r>
    <x v="14"/>
    <x v="6"/>
    <x v="6"/>
    <x v="2"/>
    <x v="2"/>
    <x v="112"/>
    <x v="86"/>
    <x v="107"/>
    <x v="94"/>
    <x v="108"/>
    <x v="0"/>
    <x v="89"/>
    <x v="108"/>
    <x v="1"/>
  </r>
  <r>
    <x v="15"/>
    <x v="6"/>
    <x v="6"/>
    <x v="2"/>
    <x v="2"/>
    <x v="113"/>
    <x v="87"/>
    <x v="108"/>
    <x v="95"/>
    <x v="109"/>
    <x v="1"/>
    <x v="100"/>
    <x v="109"/>
    <x v="1"/>
  </r>
  <r>
    <x v="16"/>
    <x v="6"/>
    <x v="6"/>
    <x v="2"/>
    <x v="2"/>
    <x v="114"/>
    <x v="88"/>
    <x v="109"/>
    <x v="96"/>
    <x v="110"/>
    <x v="1"/>
    <x v="101"/>
    <x v="110"/>
    <x v="1"/>
  </r>
  <r>
    <x v="0"/>
    <x v="7"/>
    <x v="7"/>
    <x v="2"/>
    <x v="3"/>
    <x v="115"/>
    <x v="89"/>
    <x v="110"/>
    <x v="97"/>
    <x v="111"/>
    <x v="0"/>
    <x v="102"/>
    <x v="111"/>
    <x v="1"/>
  </r>
  <r>
    <x v="1"/>
    <x v="7"/>
    <x v="7"/>
    <x v="2"/>
    <x v="3"/>
    <x v="116"/>
    <x v="90"/>
    <x v="111"/>
    <x v="98"/>
    <x v="70"/>
    <x v="0"/>
    <x v="103"/>
    <x v="112"/>
    <x v="1"/>
  </r>
  <r>
    <x v="2"/>
    <x v="7"/>
    <x v="7"/>
    <x v="2"/>
    <x v="3"/>
    <x v="117"/>
    <x v="83"/>
    <x v="112"/>
    <x v="99"/>
    <x v="112"/>
    <x v="0"/>
    <x v="104"/>
    <x v="113"/>
    <x v="1"/>
  </r>
  <r>
    <x v="3"/>
    <x v="7"/>
    <x v="7"/>
    <x v="2"/>
    <x v="3"/>
    <x v="118"/>
    <x v="91"/>
    <x v="113"/>
    <x v="100"/>
    <x v="113"/>
    <x v="0"/>
    <x v="105"/>
    <x v="114"/>
    <x v="1"/>
  </r>
  <r>
    <x v="4"/>
    <x v="7"/>
    <x v="7"/>
    <x v="2"/>
    <x v="3"/>
    <x v="119"/>
    <x v="92"/>
    <x v="114"/>
    <x v="101"/>
    <x v="114"/>
    <x v="0"/>
    <x v="106"/>
    <x v="115"/>
    <x v="1"/>
  </r>
  <r>
    <x v="5"/>
    <x v="7"/>
    <x v="7"/>
    <x v="2"/>
    <x v="3"/>
    <x v="120"/>
    <x v="93"/>
    <x v="115"/>
    <x v="9"/>
    <x v="115"/>
    <x v="0"/>
    <x v="107"/>
    <x v="116"/>
    <x v="1"/>
  </r>
  <r>
    <x v="6"/>
    <x v="7"/>
    <x v="7"/>
    <x v="2"/>
    <x v="3"/>
    <x v="121"/>
    <x v="94"/>
    <x v="116"/>
    <x v="102"/>
    <x v="116"/>
    <x v="0"/>
    <x v="108"/>
    <x v="117"/>
    <x v="1"/>
  </r>
  <r>
    <x v="7"/>
    <x v="7"/>
    <x v="7"/>
    <x v="2"/>
    <x v="3"/>
    <x v="122"/>
    <x v="95"/>
    <x v="117"/>
    <x v="103"/>
    <x v="117"/>
    <x v="0"/>
    <x v="109"/>
    <x v="118"/>
    <x v="1"/>
  </r>
  <r>
    <x v="8"/>
    <x v="7"/>
    <x v="7"/>
    <x v="2"/>
    <x v="3"/>
    <x v="123"/>
    <x v="96"/>
    <x v="118"/>
    <x v="104"/>
    <x v="118"/>
    <x v="0"/>
    <x v="110"/>
    <x v="119"/>
    <x v="1"/>
  </r>
  <r>
    <x v="9"/>
    <x v="7"/>
    <x v="7"/>
    <x v="2"/>
    <x v="3"/>
    <x v="124"/>
    <x v="97"/>
    <x v="119"/>
    <x v="105"/>
    <x v="119"/>
    <x v="0"/>
    <x v="111"/>
    <x v="99"/>
    <x v="1"/>
  </r>
  <r>
    <x v="10"/>
    <x v="7"/>
    <x v="7"/>
    <x v="2"/>
    <x v="3"/>
    <x v="125"/>
    <x v="98"/>
    <x v="120"/>
    <x v="105"/>
    <x v="119"/>
    <x v="0"/>
    <x v="112"/>
    <x v="120"/>
    <x v="1"/>
  </r>
  <r>
    <x v="11"/>
    <x v="7"/>
    <x v="7"/>
    <x v="2"/>
    <x v="3"/>
    <x v="126"/>
    <x v="99"/>
    <x v="121"/>
    <x v="106"/>
    <x v="120"/>
    <x v="0"/>
    <x v="113"/>
    <x v="121"/>
    <x v="1"/>
  </r>
  <r>
    <x v="12"/>
    <x v="7"/>
    <x v="7"/>
    <x v="2"/>
    <x v="3"/>
    <x v="127"/>
    <x v="100"/>
    <x v="122"/>
    <x v="107"/>
    <x v="121"/>
    <x v="0"/>
    <x v="114"/>
    <x v="122"/>
    <x v="1"/>
  </r>
  <r>
    <x v="13"/>
    <x v="7"/>
    <x v="7"/>
    <x v="2"/>
    <x v="3"/>
    <x v="128"/>
    <x v="78"/>
    <x v="123"/>
    <x v="108"/>
    <x v="122"/>
    <x v="0"/>
    <x v="115"/>
    <x v="123"/>
    <x v="1"/>
  </r>
  <r>
    <x v="14"/>
    <x v="7"/>
    <x v="7"/>
    <x v="2"/>
    <x v="3"/>
    <x v="129"/>
    <x v="101"/>
    <x v="124"/>
    <x v="109"/>
    <x v="123"/>
    <x v="0"/>
    <x v="116"/>
    <x v="124"/>
    <x v="1"/>
  </r>
  <r>
    <x v="15"/>
    <x v="7"/>
    <x v="7"/>
    <x v="2"/>
    <x v="3"/>
    <x v="130"/>
    <x v="102"/>
    <x v="125"/>
    <x v="110"/>
    <x v="124"/>
    <x v="1"/>
    <x v="117"/>
    <x v="125"/>
    <x v="1"/>
  </r>
  <r>
    <x v="16"/>
    <x v="7"/>
    <x v="7"/>
    <x v="2"/>
    <x v="3"/>
    <x v="131"/>
    <x v="103"/>
    <x v="126"/>
    <x v="111"/>
    <x v="125"/>
    <x v="1"/>
    <x v="118"/>
    <x v="126"/>
    <x v="1"/>
  </r>
  <r>
    <x v="0"/>
    <x v="8"/>
    <x v="8"/>
    <x v="2"/>
    <x v="4"/>
    <x v="72"/>
    <x v="104"/>
    <x v="69"/>
    <x v="47"/>
    <x v="126"/>
    <x v="0"/>
    <x v="119"/>
    <x v="127"/>
    <x v="1"/>
  </r>
  <r>
    <x v="1"/>
    <x v="8"/>
    <x v="8"/>
    <x v="2"/>
    <x v="4"/>
    <x v="132"/>
    <x v="105"/>
    <x v="127"/>
    <x v="112"/>
    <x v="127"/>
    <x v="0"/>
    <x v="120"/>
    <x v="128"/>
    <x v="1"/>
  </r>
  <r>
    <x v="2"/>
    <x v="8"/>
    <x v="8"/>
    <x v="2"/>
    <x v="4"/>
    <x v="37"/>
    <x v="106"/>
    <x v="100"/>
    <x v="42"/>
    <x v="128"/>
    <x v="0"/>
    <x v="121"/>
    <x v="129"/>
    <x v="1"/>
  </r>
  <r>
    <x v="3"/>
    <x v="8"/>
    <x v="8"/>
    <x v="2"/>
    <x v="4"/>
    <x v="40"/>
    <x v="107"/>
    <x v="72"/>
    <x v="63"/>
    <x v="129"/>
    <x v="0"/>
    <x v="122"/>
    <x v="130"/>
    <x v="1"/>
  </r>
  <r>
    <x v="4"/>
    <x v="8"/>
    <x v="8"/>
    <x v="2"/>
    <x v="4"/>
    <x v="133"/>
    <x v="108"/>
    <x v="128"/>
    <x v="113"/>
    <x v="95"/>
    <x v="0"/>
    <x v="123"/>
    <x v="131"/>
    <x v="1"/>
  </r>
  <r>
    <x v="5"/>
    <x v="8"/>
    <x v="8"/>
    <x v="2"/>
    <x v="4"/>
    <x v="134"/>
    <x v="109"/>
    <x v="43"/>
    <x v="114"/>
    <x v="130"/>
    <x v="0"/>
    <x v="124"/>
    <x v="132"/>
    <x v="1"/>
  </r>
  <r>
    <x v="6"/>
    <x v="8"/>
    <x v="8"/>
    <x v="2"/>
    <x v="4"/>
    <x v="135"/>
    <x v="110"/>
    <x v="129"/>
    <x v="115"/>
    <x v="131"/>
    <x v="0"/>
    <x v="125"/>
    <x v="133"/>
    <x v="1"/>
  </r>
  <r>
    <x v="7"/>
    <x v="8"/>
    <x v="8"/>
    <x v="2"/>
    <x v="4"/>
    <x v="136"/>
    <x v="111"/>
    <x v="130"/>
    <x v="116"/>
    <x v="132"/>
    <x v="0"/>
    <x v="126"/>
    <x v="134"/>
    <x v="1"/>
  </r>
  <r>
    <x v="8"/>
    <x v="8"/>
    <x v="8"/>
    <x v="2"/>
    <x v="4"/>
    <x v="137"/>
    <x v="90"/>
    <x v="131"/>
    <x v="117"/>
    <x v="133"/>
    <x v="0"/>
    <x v="127"/>
    <x v="135"/>
    <x v="1"/>
  </r>
  <r>
    <x v="9"/>
    <x v="8"/>
    <x v="8"/>
    <x v="2"/>
    <x v="4"/>
    <x v="138"/>
    <x v="112"/>
    <x v="119"/>
    <x v="118"/>
    <x v="134"/>
    <x v="0"/>
    <x v="125"/>
    <x v="133"/>
    <x v="1"/>
  </r>
  <r>
    <x v="10"/>
    <x v="8"/>
    <x v="8"/>
    <x v="2"/>
    <x v="4"/>
    <x v="139"/>
    <x v="113"/>
    <x v="132"/>
    <x v="119"/>
    <x v="135"/>
    <x v="0"/>
    <x v="128"/>
    <x v="136"/>
    <x v="1"/>
  </r>
  <r>
    <x v="11"/>
    <x v="8"/>
    <x v="8"/>
    <x v="2"/>
    <x v="4"/>
    <x v="140"/>
    <x v="112"/>
    <x v="133"/>
    <x v="120"/>
    <x v="136"/>
    <x v="0"/>
    <x v="129"/>
    <x v="137"/>
    <x v="1"/>
  </r>
  <r>
    <x v="12"/>
    <x v="8"/>
    <x v="8"/>
    <x v="2"/>
    <x v="4"/>
    <x v="141"/>
    <x v="97"/>
    <x v="134"/>
    <x v="121"/>
    <x v="137"/>
    <x v="0"/>
    <x v="104"/>
    <x v="99"/>
    <x v="1"/>
  </r>
  <r>
    <x v="13"/>
    <x v="8"/>
    <x v="8"/>
    <x v="2"/>
    <x v="4"/>
    <x v="142"/>
    <x v="94"/>
    <x v="135"/>
    <x v="122"/>
    <x v="138"/>
    <x v="0"/>
    <x v="130"/>
    <x v="138"/>
    <x v="1"/>
  </r>
  <r>
    <x v="14"/>
    <x v="8"/>
    <x v="8"/>
    <x v="2"/>
    <x v="4"/>
    <x v="143"/>
    <x v="114"/>
    <x v="136"/>
    <x v="123"/>
    <x v="139"/>
    <x v="0"/>
    <x v="131"/>
    <x v="139"/>
    <x v="1"/>
  </r>
  <r>
    <x v="15"/>
    <x v="8"/>
    <x v="8"/>
    <x v="2"/>
    <x v="4"/>
    <x v="144"/>
    <x v="115"/>
    <x v="137"/>
    <x v="124"/>
    <x v="140"/>
    <x v="1"/>
    <x v="132"/>
    <x v="99"/>
    <x v="1"/>
  </r>
  <r>
    <x v="16"/>
    <x v="8"/>
    <x v="8"/>
    <x v="2"/>
    <x v="4"/>
    <x v="145"/>
    <x v="116"/>
    <x v="138"/>
    <x v="125"/>
    <x v="141"/>
    <x v="1"/>
    <x v="133"/>
    <x v="140"/>
    <x v="1"/>
  </r>
  <r>
    <x v="0"/>
    <x v="9"/>
    <x v="9"/>
    <x v="0"/>
    <x v="3"/>
    <x v="146"/>
    <x v="117"/>
    <x v="94"/>
    <x v="126"/>
    <x v="142"/>
    <x v="0"/>
    <x v="134"/>
    <x v="141"/>
    <x v="1"/>
  </r>
  <r>
    <x v="1"/>
    <x v="9"/>
    <x v="9"/>
    <x v="0"/>
    <x v="3"/>
    <x v="147"/>
    <x v="118"/>
    <x v="139"/>
    <x v="127"/>
    <x v="143"/>
    <x v="0"/>
    <x v="135"/>
    <x v="102"/>
    <x v="1"/>
  </r>
  <r>
    <x v="2"/>
    <x v="9"/>
    <x v="9"/>
    <x v="0"/>
    <x v="3"/>
    <x v="148"/>
    <x v="119"/>
    <x v="140"/>
    <x v="46"/>
    <x v="101"/>
    <x v="0"/>
    <x v="136"/>
    <x v="142"/>
    <x v="1"/>
  </r>
  <r>
    <x v="3"/>
    <x v="9"/>
    <x v="9"/>
    <x v="0"/>
    <x v="3"/>
    <x v="149"/>
    <x v="119"/>
    <x v="141"/>
    <x v="128"/>
    <x v="102"/>
    <x v="0"/>
    <x v="137"/>
    <x v="143"/>
    <x v="1"/>
  </r>
  <r>
    <x v="4"/>
    <x v="9"/>
    <x v="9"/>
    <x v="0"/>
    <x v="3"/>
    <x v="150"/>
    <x v="120"/>
    <x v="141"/>
    <x v="129"/>
    <x v="144"/>
    <x v="0"/>
    <x v="138"/>
    <x v="144"/>
    <x v="1"/>
  </r>
  <r>
    <x v="5"/>
    <x v="9"/>
    <x v="9"/>
    <x v="0"/>
    <x v="3"/>
    <x v="151"/>
    <x v="121"/>
    <x v="142"/>
    <x v="130"/>
    <x v="145"/>
    <x v="0"/>
    <x v="139"/>
    <x v="145"/>
    <x v="1"/>
  </r>
  <r>
    <x v="6"/>
    <x v="9"/>
    <x v="9"/>
    <x v="0"/>
    <x v="3"/>
    <x v="152"/>
    <x v="93"/>
    <x v="143"/>
    <x v="114"/>
    <x v="130"/>
    <x v="0"/>
    <x v="104"/>
    <x v="99"/>
    <x v="1"/>
  </r>
  <r>
    <x v="7"/>
    <x v="9"/>
    <x v="9"/>
    <x v="0"/>
    <x v="3"/>
    <x v="153"/>
    <x v="122"/>
    <x v="20"/>
    <x v="131"/>
    <x v="146"/>
    <x v="0"/>
    <x v="140"/>
    <x v="146"/>
    <x v="1"/>
  </r>
  <r>
    <x v="8"/>
    <x v="9"/>
    <x v="9"/>
    <x v="0"/>
    <x v="3"/>
    <x v="154"/>
    <x v="96"/>
    <x v="144"/>
    <x v="67"/>
    <x v="147"/>
    <x v="0"/>
    <x v="141"/>
    <x v="147"/>
    <x v="1"/>
  </r>
  <r>
    <x v="9"/>
    <x v="9"/>
    <x v="9"/>
    <x v="0"/>
    <x v="3"/>
    <x v="155"/>
    <x v="123"/>
    <x v="145"/>
    <x v="69"/>
    <x v="104"/>
    <x v="0"/>
    <x v="142"/>
    <x v="148"/>
    <x v="1"/>
  </r>
  <r>
    <x v="10"/>
    <x v="9"/>
    <x v="9"/>
    <x v="0"/>
    <x v="3"/>
    <x v="156"/>
    <x v="124"/>
    <x v="146"/>
    <x v="132"/>
    <x v="148"/>
    <x v="0"/>
    <x v="143"/>
    <x v="99"/>
    <x v="1"/>
  </r>
  <r>
    <x v="11"/>
    <x v="9"/>
    <x v="9"/>
    <x v="0"/>
    <x v="3"/>
    <x v="157"/>
    <x v="89"/>
    <x v="147"/>
    <x v="3"/>
    <x v="149"/>
    <x v="0"/>
    <x v="144"/>
    <x v="149"/>
    <x v="1"/>
  </r>
  <r>
    <x v="12"/>
    <x v="9"/>
    <x v="9"/>
    <x v="0"/>
    <x v="3"/>
    <x v="158"/>
    <x v="125"/>
    <x v="148"/>
    <x v="6"/>
    <x v="150"/>
    <x v="0"/>
    <x v="145"/>
    <x v="150"/>
    <x v="1"/>
  </r>
  <r>
    <x v="13"/>
    <x v="9"/>
    <x v="9"/>
    <x v="0"/>
    <x v="3"/>
    <x v="159"/>
    <x v="126"/>
    <x v="149"/>
    <x v="133"/>
    <x v="151"/>
    <x v="0"/>
    <x v="146"/>
    <x v="151"/>
    <x v="1"/>
  </r>
  <r>
    <x v="14"/>
    <x v="9"/>
    <x v="9"/>
    <x v="0"/>
    <x v="3"/>
    <x v="160"/>
    <x v="127"/>
    <x v="150"/>
    <x v="134"/>
    <x v="152"/>
    <x v="0"/>
    <x v="147"/>
    <x v="152"/>
    <x v="1"/>
  </r>
  <r>
    <x v="15"/>
    <x v="9"/>
    <x v="9"/>
    <x v="0"/>
    <x v="3"/>
    <x v="161"/>
    <x v="103"/>
    <x v="151"/>
    <x v="135"/>
    <x v="153"/>
    <x v="1"/>
    <x v="148"/>
    <x v="153"/>
    <x v="1"/>
  </r>
  <r>
    <x v="16"/>
    <x v="9"/>
    <x v="9"/>
    <x v="0"/>
    <x v="3"/>
    <x v="162"/>
    <x v="128"/>
    <x v="152"/>
    <x v="136"/>
    <x v="107"/>
    <x v="1"/>
    <x v="149"/>
    <x v="154"/>
    <x v="1"/>
  </r>
  <r>
    <x v="0"/>
    <x v="10"/>
    <x v="10"/>
    <x v="2"/>
    <x v="5"/>
    <x v="163"/>
    <x v="98"/>
    <x v="153"/>
    <x v="41"/>
    <x v="154"/>
    <x v="0"/>
    <x v="150"/>
    <x v="155"/>
    <x v="1"/>
  </r>
  <r>
    <x v="1"/>
    <x v="10"/>
    <x v="10"/>
    <x v="2"/>
    <x v="5"/>
    <x v="82"/>
    <x v="129"/>
    <x v="154"/>
    <x v="37"/>
    <x v="154"/>
    <x v="0"/>
    <x v="151"/>
    <x v="156"/>
    <x v="1"/>
  </r>
  <r>
    <x v="2"/>
    <x v="10"/>
    <x v="10"/>
    <x v="2"/>
    <x v="5"/>
    <x v="164"/>
    <x v="130"/>
    <x v="155"/>
    <x v="37"/>
    <x v="154"/>
    <x v="0"/>
    <x v="152"/>
    <x v="99"/>
    <x v="1"/>
  </r>
  <r>
    <x v="3"/>
    <x v="10"/>
    <x v="10"/>
    <x v="2"/>
    <x v="5"/>
    <x v="165"/>
    <x v="116"/>
    <x v="156"/>
    <x v="47"/>
    <x v="126"/>
    <x v="0"/>
    <x v="153"/>
    <x v="157"/>
    <x v="1"/>
  </r>
  <r>
    <x v="4"/>
    <x v="10"/>
    <x v="10"/>
    <x v="2"/>
    <x v="5"/>
    <x v="166"/>
    <x v="122"/>
    <x v="157"/>
    <x v="137"/>
    <x v="155"/>
    <x v="0"/>
    <x v="104"/>
    <x v="158"/>
    <x v="1"/>
  </r>
  <r>
    <x v="5"/>
    <x v="10"/>
    <x v="10"/>
    <x v="2"/>
    <x v="5"/>
    <x v="167"/>
    <x v="131"/>
    <x v="66"/>
    <x v="137"/>
    <x v="155"/>
    <x v="0"/>
    <x v="154"/>
    <x v="159"/>
    <x v="1"/>
  </r>
  <r>
    <x v="6"/>
    <x v="10"/>
    <x v="10"/>
    <x v="2"/>
    <x v="5"/>
    <x v="168"/>
    <x v="132"/>
    <x v="158"/>
    <x v="60"/>
    <x v="156"/>
    <x v="0"/>
    <x v="155"/>
    <x v="160"/>
    <x v="1"/>
  </r>
  <r>
    <x v="7"/>
    <x v="10"/>
    <x v="10"/>
    <x v="2"/>
    <x v="5"/>
    <x v="169"/>
    <x v="133"/>
    <x v="159"/>
    <x v="60"/>
    <x v="156"/>
    <x v="0"/>
    <x v="156"/>
    <x v="161"/>
    <x v="1"/>
  </r>
  <r>
    <x v="8"/>
    <x v="10"/>
    <x v="10"/>
    <x v="2"/>
    <x v="5"/>
    <x v="170"/>
    <x v="134"/>
    <x v="160"/>
    <x v="18"/>
    <x v="157"/>
    <x v="0"/>
    <x v="157"/>
    <x v="162"/>
    <x v="1"/>
  </r>
  <r>
    <x v="9"/>
    <x v="10"/>
    <x v="10"/>
    <x v="2"/>
    <x v="5"/>
    <x v="171"/>
    <x v="135"/>
    <x v="161"/>
    <x v="34"/>
    <x v="156"/>
    <x v="0"/>
    <x v="158"/>
    <x v="163"/>
    <x v="1"/>
  </r>
  <r>
    <x v="10"/>
    <x v="10"/>
    <x v="10"/>
    <x v="2"/>
    <x v="5"/>
    <x v="72"/>
    <x v="129"/>
    <x v="162"/>
    <x v="47"/>
    <x v="126"/>
    <x v="0"/>
    <x v="119"/>
    <x v="127"/>
    <x v="1"/>
  </r>
  <r>
    <x v="11"/>
    <x v="10"/>
    <x v="10"/>
    <x v="2"/>
    <x v="5"/>
    <x v="172"/>
    <x v="136"/>
    <x v="163"/>
    <x v="52"/>
    <x v="158"/>
    <x v="0"/>
    <x v="159"/>
    <x v="164"/>
    <x v="1"/>
  </r>
  <r>
    <x v="12"/>
    <x v="10"/>
    <x v="10"/>
    <x v="2"/>
    <x v="5"/>
    <x v="173"/>
    <x v="122"/>
    <x v="164"/>
    <x v="138"/>
    <x v="96"/>
    <x v="0"/>
    <x v="160"/>
    <x v="165"/>
    <x v="1"/>
  </r>
  <r>
    <x v="13"/>
    <x v="10"/>
    <x v="10"/>
    <x v="2"/>
    <x v="5"/>
    <x v="174"/>
    <x v="137"/>
    <x v="94"/>
    <x v="53"/>
    <x v="97"/>
    <x v="0"/>
    <x v="161"/>
    <x v="166"/>
    <x v="1"/>
  </r>
  <r>
    <x v="14"/>
    <x v="10"/>
    <x v="10"/>
    <x v="2"/>
    <x v="5"/>
    <x v="175"/>
    <x v="131"/>
    <x v="53"/>
    <x v="139"/>
    <x v="159"/>
    <x v="0"/>
    <x v="162"/>
    <x v="167"/>
    <x v="1"/>
  </r>
  <r>
    <x v="15"/>
    <x v="10"/>
    <x v="10"/>
    <x v="2"/>
    <x v="5"/>
    <x v="176"/>
    <x v="115"/>
    <x v="165"/>
    <x v="66"/>
    <x v="160"/>
    <x v="1"/>
    <x v="163"/>
    <x v="168"/>
    <x v="1"/>
  </r>
  <r>
    <x v="16"/>
    <x v="10"/>
    <x v="10"/>
    <x v="2"/>
    <x v="5"/>
    <x v="177"/>
    <x v="131"/>
    <x v="166"/>
    <x v="140"/>
    <x v="161"/>
    <x v="1"/>
    <x v="164"/>
    <x v="169"/>
    <x v="1"/>
  </r>
  <r>
    <x v="0"/>
    <x v="11"/>
    <x v="11"/>
    <x v="2"/>
    <x v="6"/>
    <x v="178"/>
    <x v="95"/>
    <x v="167"/>
    <x v="141"/>
    <x v="162"/>
    <x v="0"/>
    <x v="165"/>
    <x v="170"/>
    <x v="0"/>
  </r>
  <r>
    <x v="1"/>
    <x v="11"/>
    <x v="11"/>
    <x v="2"/>
    <x v="6"/>
    <x v="179"/>
    <x v="138"/>
    <x v="168"/>
    <x v="142"/>
    <x v="163"/>
    <x v="0"/>
    <x v="166"/>
    <x v="171"/>
    <x v="0"/>
  </r>
  <r>
    <x v="2"/>
    <x v="11"/>
    <x v="11"/>
    <x v="2"/>
    <x v="6"/>
    <x v="180"/>
    <x v="139"/>
    <x v="169"/>
    <x v="143"/>
    <x v="164"/>
    <x v="0"/>
    <x v="167"/>
    <x v="172"/>
    <x v="0"/>
  </r>
  <r>
    <x v="3"/>
    <x v="11"/>
    <x v="11"/>
    <x v="2"/>
    <x v="6"/>
    <x v="181"/>
    <x v="140"/>
    <x v="170"/>
    <x v="144"/>
    <x v="165"/>
    <x v="0"/>
    <x v="168"/>
    <x v="173"/>
    <x v="0"/>
  </r>
  <r>
    <x v="4"/>
    <x v="11"/>
    <x v="11"/>
    <x v="2"/>
    <x v="6"/>
    <x v="182"/>
    <x v="141"/>
    <x v="171"/>
    <x v="145"/>
    <x v="166"/>
    <x v="0"/>
    <x v="169"/>
    <x v="174"/>
    <x v="0"/>
  </r>
  <r>
    <x v="5"/>
    <x v="11"/>
    <x v="11"/>
    <x v="2"/>
    <x v="6"/>
    <x v="183"/>
    <x v="142"/>
    <x v="172"/>
    <x v="146"/>
    <x v="167"/>
    <x v="0"/>
    <x v="170"/>
    <x v="175"/>
    <x v="0"/>
  </r>
  <r>
    <x v="6"/>
    <x v="11"/>
    <x v="11"/>
    <x v="2"/>
    <x v="6"/>
    <x v="184"/>
    <x v="143"/>
    <x v="173"/>
    <x v="147"/>
    <x v="168"/>
    <x v="0"/>
    <x v="171"/>
    <x v="176"/>
    <x v="0"/>
  </r>
  <r>
    <x v="7"/>
    <x v="11"/>
    <x v="11"/>
    <x v="2"/>
    <x v="6"/>
    <x v="185"/>
    <x v="144"/>
    <x v="174"/>
    <x v="148"/>
    <x v="169"/>
    <x v="0"/>
    <x v="172"/>
    <x v="177"/>
    <x v="0"/>
  </r>
  <r>
    <x v="8"/>
    <x v="11"/>
    <x v="11"/>
    <x v="2"/>
    <x v="6"/>
    <x v="186"/>
    <x v="145"/>
    <x v="175"/>
    <x v="149"/>
    <x v="170"/>
    <x v="0"/>
    <x v="173"/>
    <x v="178"/>
    <x v="0"/>
  </r>
  <r>
    <x v="9"/>
    <x v="11"/>
    <x v="11"/>
    <x v="2"/>
    <x v="6"/>
    <x v="187"/>
    <x v="146"/>
    <x v="176"/>
    <x v="150"/>
    <x v="171"/>
    <x v="0"/>
    <x v="174"/>
    <x v="179"/>
    <x v="0"/>
  </r>
  <r>
    <x v="10"/>
    <x v="11"/>
    <x v="11"/>
    <x v="2"/>
    <x v="6"/>
    <x v="188"/>
    <x v="147"/>
    <x v="177"/>
    <x v="151"/>
    <x v="172"/>
    <x v="0"/>
    <x v="175"/>
    <x v="180"/>
    <x v="0"/>
  </r>
  <r>
    <x v="11"/>
    <x v="11"/>
    <x v="11"/>
    <x v="2"/>
    <x v="6"/>
    <x v="189"/>
    <x v="81"/>
    <x v="178"/>
    <x v="152"/>
    <x v="173"/>
    <x v="0"/>
    <x v="176"/>
    <x v="181"/>
    <x v="0"/>
  </r>
  <r>
    <x v="12"/>
    <x v="11"/>
    <x v="11"/>
    <x v="2"/>
    <x v="6"/>
    <x v="190"/>
    <x v="148"/>
    <x v="179"/>
    <x v="153"/>
    <x v="174"/>
    <x v="0"/>
    <x v="177"/>
    <x v="182"/>
    <x v="0"/>
  </r>
  <r>
    <x v="13"/>
    <x v="11"/>
    <x v="11"/>
    <x v="2"/>
    <x v="6"/>
    <x v="191"/>
    <x v="149"/>
    <x v="180"/>
    <x v="154"/>
    <x v="175"/>
    <x v="0"/>
    <x v="178"/>
    <x v="183"/>
    <x v="0"/>
  </r>
  <r>
    <x v="14"/>
    <x v="11"/>
    <x v="11"/>
    <x v="2"/>
    <x v="6"/>
    <x v="192"/>
    <x v="150"/>
    <x v="181"/>
    <x v="155"/>
    <x v="176"/>
    <x v="0"/>
    <x v="179"/>
    <x v="184"/>
    <x v="0"/>
  </r>
  <r>
    <x v="15"/>
    <x v="11"/>
    <x v="11"/>
    <x v="2"/>
    <x v="6"/>
    <x v="193"/>
    <x v="151"/>
    <x v="182"/>
    <x v="156"/>
    <x v="177"/>
    <x v="1"/>
    <x v="180"/>
    <x v="180"/>
    <x v="0"/>
  </r>
  <r>
    <x v="16"/>
    <x v="11"/>
    <x v="11"/>
    <x v="2"/>
    <x v="6"/>
    <x v="194"/>
    <x v="152"/>
    <x v="183"/>
    <x v="157"/>
    <x v="178"/>
    <x v="1"/>
    <x v="181"/>
    <x v="185"/>
    <x v="0"/>
  </r>
  <r>
    <x v="0"/>
    <x v="12"/>
    <x v="1"/>
    <x v="1"/>
    <x v="7"/>
    <x v="195"/>
    <x v="153"/>
    <x v="184"/>
    <x v="158"/>
    <x v="179"/>
    <x v="0"/>
    <x v="182"/>
    <x v="186"/>
    <x v="0"/>
  </r>
  <r>
    <x v="1"/>
    <x v="12"/>
    <x v="1"/>
    <x v="1"/>
    <x v="7"/>
    <x v="196"/>
    <x v="148"/>
    <x v="185"/>
    <x v="9"/>
    <x v="180"/>
    <x v="0"/>
    <x v="183"/>
    <x v="187"/>
    <x v="0"/>
  </r>
  <r>
    <x v="2"/>
    <x v="12"/>
    <x v="1"/>
    <x v="1"/>
    <x v="7"/>
    <x v="197"/>
    <x v="154"/>
    <x v="186"/>
    <x v="159"/>
    <x v="181"/>
    <x v="0"/>
    <x v="184"/>
    <x v="188"/>
    <x v="0"/>
  </r>
  <r>
    <x v="3"/>
    <x v="12"/>
    <x v="1"/>
    <x v="1"/>
    <x v="7"/>
    <x v="198"/>
    <x v="149"/>
    <x v="187"/>
    <x v="160"/>
    <x v="165"/>
    <x v="0"/>
    <x v="185"/>
    <x v="189"/>
    <x v="0"/>
  </r>
  <r>
    <x v="4"/>
    <x v="12"/>
    <x v="1"/>
    <x v="1"/>
    <x v="7"/>
    <x v="199"/>
    <x v="155"/>
    <x v="188"/>
    <x v="161"/>
    <x v="182"/>
    <x v="0"/>
    <x v="186"/>
    <x v="190"/>
    <x v="0"/>
  </r>
  <r>
    <x v="5"/>
    <x v="12"/>
    <x v="1"/>
    <x v="1"/>
    <x v="7"/>
    <x v="200"/>
    <x v="156"/>
    <x v="189"/>
    <x v="162"/>
    <x v="183"/>
    <x v="0"/>
    <x v="187"/>
    <x v="191"/>
    <x v="0"/>
  </r>
  <r>
    <x v="6"/>
    <x v="12"/>
    <x v="1"/>
    <x v="1"/>
    <x v="7"/>
    <x v="201"/>
    <x v="157"/>
    <x v="190"/>
    <x v="94"/>
    <x v="184"/>
    <x v="0"/>
    <x v="188"/>
    <x v="192"/>
    <x v="0"/>
  </r>
  <r>
    <x v="7"/>
    <x v="12"/>
    <x v="1"/>
    <x v="1"/>
    <x v="7"/>
    <x v="202"/>
    <x v="158"/>
    <x v="191"/>
    <x v="163"/>
    <x v="185"/>
    <x v="0"/>
    <x v="189"/>
    <x v="193"/>
    <x v="0"/>
  </r>
  <r>
    <x v="8"/>
    <x v="12"/>
    <x v="1"/>
    <x v="1"/>
    <x v="7"/>
    <x v="203"/>
    <x v="124"/>
    <x v="192"/>
    <x v="164"/>
    <x v="186"/>
    <x v="0"/>
    <x v="190"/>
    <x v="194"/>
    <x v="0"/>
  </r>
  <r>
    <x v="9"/>
    <x v="12"/>
    <x v="1"/>
    <x v="1"/>
    <x v="7"/>
    <x v="204"/>
    <x v="159"/>
    <x v="193"/>
    <x v="165"/>
    <x v="187"/>
    <x v="0"/>
    <x v="191"/>
    <x v="195"/>
    <x v="0"/>
  </r>
  <r>
    <x v="10"/>
    <x v="12"/>
    <x v="1"/>
    <x v="1"/>
    <x v="7"/>
    <x v="205"/>
    <x v="20"/>
    <x v="194"/>
    <x v="166"/>
    <x v="188"/>
    <x v="0"/>
    <x v="192"/>
    <x v="196"/>
    <x v="0"/>
  </r>
  <r>
    <x v="11"/>
    <x v="12"/>
    <x v="1"/>
    <x v="1"/>
    <x v="7"/>
    <x v="206"/>
    <x v="160"/>
    <x v="195"/>
    <x v="167"/>
    <x v="189"/>
    <x v="0"/>
    <x v="193"/>
    <x v="197"/>
    <x v="0"/>
  </r>
  <r>
    <x v="12"/>
    <x v="12"/>
    <x v="1"/>
    <x v="1"/>
    <x v="7"/>
    <x v="207"/>
    <x v="161"/>
    <x v="196"/>
    <x v="168"/>
    <x v="190"/>
    <x v="0"/>
    <x v="193"/>
    <x v="198"/>
    <x v="0"/>
  </r>
  <r>
    <x v="13"/>
    <x v="12"/>
    <x v="1"/>
    <x v="1"/>
    <x v="7"/>
    <x v="208"/>
    <x v="162"/>
    <x v="197"/>
    <x v="11"/>
    <x v="191"/>
    <x v="0"/>
    <x v="194"/>
    <x v="199"/>
    <x v="0"/>
  </r>
  <r>
    <x v="14"/>
    <x v="12"/>
    <x v="1"/>
    <x v="1"/>
    <x v="7"/>
    <x v="209"/>
    <x v="116"/>
    <x v="198"/>
    <x v="169"/>
    <x v="192"/>
    <x v="0"/>
    <x v="195"/>
    <x v="200"/>
    <x v="0"/>
  </r>
  <r>
    <x v="15"/>
    <x v="12"/>
    <x v="1"/>
    <x v="1"/>
    <x v="7"/>
    <x v="210"/>
    <x v="114"/>
    <x v="199"/>
    <x v="125"/>
    <x v="193"/>
    <x v="1"/>
    <x v="196"/>
    <x v="201"/>
    <x v="0"/>
  </r>
  <r>
    <x v="16"/>
    <x v="12"/>
    <x v="1"/>
    <x v="1"/>
    <x v="7"/>
    <x v="211"/>
    <x v="163"/>
    <x v="200"/>
    <x v="170"/>
    <x v="194"/>
    <x v="1"/>
    <x v="197"/>
    <x v="202"/>
    <x v="0"/>
  </r>
  <r>
    <x v="0"/>
    <x v="13"/>
    <x v="12"/>
    <x v="1"/>
    <x v="7"/>
    <x v="212"/>
    <x v="140"/>
    <x v="144"/>
    <x v="171"/>
    <x v="195"/>
    <x v="0"/>
    <x v="198"/>
    <x v="203"/>
    <x v="0"/>
  </r>
  <r>
    <x v="1"/>
    <x v="13"/>
    <x v="12"/>
    <x v="1"/>
    <x v="7"/>
    <x v="213"/>
    <x v="164"/>
    <x v="94"/>
    <x v="27"/>
    <x v="196"/>
    <x v="0"/>
    <x v="199"/>
    <x v="204"/>
    <x v="0"/>
  </r>
  <r>
    <x v="2"/>
    <x v="13"/>
    <x v="12"/>
    <x v="1"/>
    <x v="7"/>
    <x v="159"/>
    <x v="164"/>
    <x v="18"/>
    <x v="115"/>
    <x v="197"/>
    <x v="0"/>
    <x v="200"/>
    <x v="205"/>
    <x v="0"/>
  </r>
  <r>
    <x v="3"/>
    <x v="13"/>
    <x v="12"/>
    <x v="1"/>
    <x v="7"/>
    <x v="214"/>
    <x v="165"/>
    <x v="201"/>
    <x v="172"/>
    <x v="198"/>
    <x v="0"/>
    <x v="201"/>
    <x v="206"/>
    <x v="0"/>
  </r>
  <r>
    <x v="4"/>
    <x v="13"/>
    <x v="12"/>
    <x v="1"/>
    <x v="7"/>
    <x v="215"/>
    <x v="166"/>
    <x v="51"/>
    <x v="173"/>
    <x v="199"/>
    <x v="0"/>
    <x v="202"/>
    <x v="207"/>
    <x v="0"/>
  </r>
  <r>
    <x v="5"/>
    <x v="13"/>
    <x v="12"/>
    <x v="1"/>
    <x v="7"/>
    <x v="216"/>
    <x v="167"/>
    <x v="202"/>
    <x v="174"/>
    <x v="200"/>
    <x v="0"/>
    <x v="203"/>
    <x v="208"/>
    <x v="0"/>
  </r>
  <r>
    <x v="6"/>
    <x v="13"/>
    <x v="12"/>
    <x v="1"/>
    <x v="7"/>
    <x v="217"/>
    <x v="168"/>
    <x v="203"/>
    <x v="175"/>
    <x v="201"/>
    <x v="0"/>
    <x v="204"/>
    <x v="209"/>
    <x v="0"/>
  </r>
  <r>
    <x v="7"/>
    <x v="13"/>
    <x v="12"/>
    <x v="1"/>
    <x v="7"/>
    <x v="218"/>
    <x v="137"/>
    <x v="204"/>
    <x v="176"/>
    <x v="202"/>
    <x v="0"/>
    <x v="205"/>
    <x v="210"/>
    <x v="0"/>
  </r>
  <r>
    <x v="8"/>
    <x v="13"/>
    <x v="12"/>
    <x v="1"/>
    <x v="7"/>
    <x v="219"/>
    <x v="107"/>
    <x v="205"/>
    <x v="177"/>
    <x v="203"/>
    <x v="0"/>
    <x v="206"/>
    <x v="211"/>
    <x v="0"/>
  </r>
  <r>
    <x v="9"/>
    <x v="13"/>
    <x v="12"/>
    <x v="1"/>
    <x v="7"/>
    <x v="220"/>
    <x v="169"/>
    <x v="206"/>
    <x v="178"/>
    <x v="204"/>
    <x v="0"/>
    <x v="193"/>
    <x v="212"/>
    <x v="0"/>
  </r>
  <r>
    <x v="10"/>
    <x v="13"/>
    <x v="12"/>
    <x v="1"/>
    <x v="7"/>
    <x v="221"/>
    <x v="170"/>
    <x v="207"/>
    <x v="179"/>
    <x v="205"/>
    <x v="0"/>
    <x v="207"/>
    <x v="213"/>
    <x v="0"/>
  </r>
  <r>
    <x v="11"/>
    <x v="13"/>
    <x v="12"/>
    <x v="1"/>
    <x v="7"/>
    <x v="222"/>
    <x v="28"/>
    <x v="208"/>
    <x v="180"/>
    <x v="206"/>
    <x v="0"/>
    <x v="193"/>
    <x v="214"/>
    <x v="0"/>
  </r>
  <r>
    <x v="12"/>
    <x v="13"/>
    <x v="12"/>
    <x v="1"/>
    <x v="7"/>
    <x v="197"/>
    <x v="24"/>
    <x v="209"/>
    <x v="159"/>
    <x v="181"/>
    <x v="0"/>
    <x v="184"/>
    <x v="188"/>
    <x v="0"/>
  </r>
  <r>
    <x v="13"/>
    <x v="13"/>
    <x v="12"/>
    <x v="1"/>
    <x v="7"/>
    <x v="223"/>
    <x v="171"/>
    <x v="210"/>
    <x v="181"/>
    <x v="207"/>
    <x v="0"/>
    <x v="208"/>
    <x v="215"/>
    <x v="0"/>
  </r>
  <r>
    <x v="14"/>
    <x v="13"/>
    <x v="12"/>
    <x v="1"/>
    <x v="7"/>
    <x v="224"/>
    <x v="172"/>
    <x v="211"/>
    <x v="182"/>
    <x v="208"/>
    <x v="0"/>
    <x v="209"/>
    <x v="216"/>
    <x v="0"/>
  </r>
  <r>
    <x v="15"/>
    <x v="13"/>
    <x v="12"/>
    <x v="1"/>
    <x v="7"/>
    <x v="225"/>
    <x v="173"/>
    <x v="212"/>
    <x v="183"/>
    <x v="209"/>
    <x v="1"/>
    <x v="210"/>
    <x v="217"/>
    <x v="0"/>
  </r>
  <r>
    <x v="16"/>
    <x v="13"/>
    <x v="12"/>
    <x v="1"/>
    <x v="7"/>
    <x v="226"/>
    <x v="174"/>
    <x v="213"/>
    <x v="184"/>
    <x v="210"/>
    <x v="1"/>
    <x v="211"/>
    <x v="218"/>
    <x v="0"/>
  </r>
  <r>
    <x v="0"/>
    <x v="14"/>
    <x v="13"/>
    <x v="2"/>
    <x v="7"/>
    <x v="227"/>
    <x v="175"/>
    <x v="214"/>
    <x v="131"/>
    <x v="211"/>
    <x v="0"/>
    <x v="212"/>
    <x v="219"/>
    <x v="0"/>
  </r>
  <r>
    <x v="1"/>
    <x v="14"/>
    <x v="13"/>
    <x v="2"/>
    <x v="7"/>
    <x v="228"/>
    <x v="176"/>
    <x v="215"/>
    <x v="185"/>
    <x v="212"/>
    <x v="0"/>
    <x v="213"/>
    <x v="220"/>
    <x v="0"/>
  </r>
  <r>
    <x v="2"/>
    <x v="14"/>
    <x v="13"/>
    <x v="2"/>
    <x v="7"/>
    <x v="229"/>
    <x v="177"/>
    <x v="216"/>
    <x v="69"/>
    <x v="213"/>
    <x v="0"/>
    <x v="214"/>
    <x v="208"/>
    <x v="0"/>
  </r>
  <r>
    <x v="3"/>
    <x v="14"/>
    <x v="13"/>
    <x v="2"/>
    <x v="7"/>
    <x v="230"/>
    <x v="178"/>
    <x v="217"/>
    <x v="28"/>
    <x v="125"/>
    <x v="0"/>
    <x v="215"/>
    <x v="221"/>
    <x v="0"/>
  </r>
  <r>
    <x v="4"/>
    <x v="14"/>
    <x v="13"/>
    <x v="2"/>
    <x v="7"/>
    <x v="231"/>
    <x v="179"/>
    <x v="218"/>
    <x v="172"/>
    <x v="214"/>
    <x v="0"/>
    <x v="216"/>
    <x v="222"/>
    <x v="0"/>
  </r>
  <r>
    <x v="5"/>
    <x v="14"/>
    <x v="13"/>
    <x v="2"/>
    <x v="7"/>
    <x v="232"/>
    <x v="180"/>
    <x v="219"/>
    <x v="186"/>
    <x v="215"/>
    <x v="0"/>
    <x v="217"/>
    <x v="223"/>
    <x v="0"/>
  </r>
  <r>
    <x v="6"/>
    <x v="14"/>
    <x v="13"/>
    <x v="2"/>
    <x v="7"/>
    <x v="233"/>
    <x v="181"/>
    <x v="220"/>
    <x v="134"/>
    <x v="216"/>
    <x v="0"/>
    <x v="218"/>
    <x v="224"/>
    <x v="0"/>
  </r>
  <r>
    <x v="7"/>
    <x v="14"/>
    <x v="13"/>
    <x v="2"/>
    <x v="7"/>
    <x v="234"/>
    <x v="91"/>
    <x v="152"/>
    <x v="187"/>
    <x v="217"/>
    <x v="0"/>
    <x v="219"/>
    <x v="225"/>
    <x v="0"/>
  </r>
  <r>
    <x v="8"/>
    <x v="14"/>
    <x v="13"/>
    <x v="2"/>
    <x v="7"/>
    <x v="235"/>
    <x v="123"/>
    <x v="221"/>
    <x v="176"/>
    <x v="218"/>
    <x v="0"/>
    <x v="220"/>
    <x v="226"/>
    <x v="0"/>
  </r>
  <r>
    <x v="9"/>
    <x v="14"/>
    <x v="13"/>
    <x v="2"/>
    <x v="7"/>
    <x v="236"/>
    <x v="28"/>
    <x v="222"/>
    <x v="7"/>
    <x v="219"/>
    <x v="0"/>
    <x v="221"/>
    <x v="227"/>
    <x v="0"/>
  </r>
  <r>
    <x v="10"/>
    <x v="14"/>
    <x v="13"/>
    <x v="2"/>
    <x v="7"/>
    <x v="237"/>
    <x v="9"/>
    <x v="223"/>
    <x v="188"/>
    <x v="220"/>
    <x v="0"/>
    <x v="222"/>
    <x v="228"/>
    <x v="0"/>
  </r>
  <r>
    <x v="11"/>
    <x v="14"/>
    <x v="13"/>
    <x v="2"/>
    <x v="7"/>
    <x v="238"/>
    <x v="92"/>
    <x v="224"/>
    <x v="189"/>
    <x v="221"/>
    <x v="0"/>
    <x v="223"/>
    <x v="229"/>
    <x v="0"/>
  </r>
  <r>
    <x v="12"/>
    <x v="14"/>
    <x v="13"/>
    <x v="2"/>
    <x v="7"/>
    <x v="239"/>
    <x v="13"/>
    <x v="225"/>
    <x v="190"/>
    <x v="222"/>
    <x v="0"/>
    <x v="224"/>
    <x v="230"/>
    <x v="0"/>
  </r>
  <r>
    <x v="13"/>
    <x v="14"/>
    <x v="13"/>
    <x v="2"/>
    <x v="7"/>
    <x v="240"/>
    <x v="158"/>
    <x v="226"/>
    <x v="173"/>
    <x v="223"/>
    <x v="0"/>
    <x v="225"/>
    <x v="231"/>
    <x v="0"/>
  </r>
  <r>
    <x v="14"/>
    <x v="14"/>
    <x v="13"/>
    <x v="2"/>
    <x v="7"/>
    <x v="241"/>
    <x v="89"/>
    <x v="227"/>
    <x v="191"/>
    <x v="224"/>
    <x v="0"/>
    <x v="226"/>
    <x v="232"/>
    <x v="0"/>
  </r>
  <r>
    <x v="15"/>
    <x v="14"/>
    <x v="13"/>
    <x v="2"/>
    <x v="7"/>
    <x v="242"/>
    <x v="114"/>
    <x v="228"/>
    <x v="192"/>
    <x v="225"/>
    <x v="1"/>
    <x v="227"/>
    <x v="233"/>
    <x v="0"/>
  </r>
  <r>
    <x v="16"/>
    <x v="14"/>
    <x v="13"/>
    <x v="2"/>
    <x v="7"/>
    <x v="243"/>
    <x v="182"/>
    <x v="229"/>
    <x v="193"/>
    <x v="226"/>
    <x v="1"/>
    <x v="228"/>
    <x v="234"/>
    <x v="0"/>
  </r>
  <r>
    <x v="0"/>
    <x v="15"/>
    <x v="14"/>
    <x v="2"/>
    <x v="8"/>
    <x v="244"/>
    <x v="46"/>
    <x v="230"/>
    <x v="194"/>
    <x v="227"/>
    <x v="0"/>
    <x v="121"/>
    <x v="235"/>
    <x v="0"/>
  </r>
  <r>
    <x v="1"/>
    <x v="15"/>
    <x v="14"/>
    <x v="2"/>
    <x v="8"/>
    <x v="245"/>
    <x v="183"/>
    <x v="231"/>
    <x v="195"/>
    <x v="35"/>
    <x v="0"/>
    <x v="229"/>
    <x v="236"/>
    <x v="0"/>
  </r>
  <r>
    <x v="2"/>
    <x v="15"/>
    <x v="14"/>
    <x v="2"/>
    <x v="8"/>
    <x v="246"/>
    <x v="184"/>
    <x v="232"/>
    <x v="196"/>
    <x v="18"/>
    <x v="0"/>
    <x v="230"/>
    <x v="237"/>
    <x v="0"/>
  </r>
  <r>
    <x v="3"/>
    <x v="15"/>
    <x v="14"/>
    <x v="2"/>
    <x v="8"/>
    <x v="247"/>
    <x v="25"/>
    <x v="230"/>
    <x v="89"/>
    <x v="72"/>
    <x v="0"/>
    <x v="231"/>
    <x v="238"/>
    <x v="0"/>
  </r>
  <r>
    <x v="4"/>
    <x v="15"/>
    <x v="14"/>
    <x v="2"/>
    <x v="8"/>
    <x v="248"/>
    <x v="185"/>
    <x v="233"/>
    <x v="71"/>
    <x v="34"/>
    <x v="0"/>
    <x v="232"/>
    <x v="239"/>
    <x v="0"/>
  </r>
  <r>
    <x v="5"/>
    <x v="15"/>
    <x v="14"/>
    <x v="2"/>
    <x v="8"/>
    <x v="249"/>
    <x v="5"/>
    <x v="234"/>
    <x v="173"/>
    <x v="228"/>
    <x v="0"/>
    <x v="233"/>
    <x v="240"/>
    <x v="0"/>
  </r>
  <r>
    <x v="6"/>
    <x v="15"/>
    <x v="14"/>
    <x v="2"/>
    <x v="8"/>
    <x v="250"/>
    <x v="186"/>
    <x v="235"/>
    <x v="33"/>
    <x v="229"/>
    <x v="0"/>
    <x v="104"/>
    <x v="241"/>
    <x v="0"/>
  </r>
  <r>
    <x v="7"/>
    <x v="15"/>
    <x v="14"/>
    <x v="2"/>
    <x v="8"/>
    <x v="251"/>
    <x v="187"/>
    <x v="204"/>
    <x v="197"/>
    <x v="153"/>
    <x v="0"/>
    <x v="105"/>
    <x v="242"/>
    <x v="0"/>
  </r>
  <r>
    <x v="8"/>
    <x v="15"/>
    <x v="14"/>
    <x v="2"/>
    <x v="8"/>
    <x v="252"/>
    <x v="188"/>
    <x v="236"/>
    <x v="198"/>
    <x v="230"/>
    <x v="0"/>
    <x v="104"/>
    <x v="241"/>
    <x v="0"/>
  </r>
  <r>
    <x v="9"/>
    <x v="15"/>
    <x v="14"/>
    <x v="2"/>
    <x v="8"/>
    <x v="253"/>
    <x v="189"/>
    <x v="237"/>
    <x v="199"/>
    <x v="231"/>
    <x v="0"/>
    <x v="234"/>
    <x v="243"/>
    <x v="0"/>
  </r>
  <r>
    <x v="10"/>
    <x v="15"/>
    <x v="14"/>
    <x v="2"/>
    <x v="8"/>
    <x v="254"/>
    <x v="41"/>
    <x v="238"/>
    <x v="200"/>
    <x v="232"/>
    <x v="0"/>
    <x v="235"/>
    <x v="244"/>
    <x v="0"/>
  </r>
  <r>
    <x v="11"/>
    <x v="15"/>
    <x v="14"/>
    <x v="2"/>
    <x v="8"/>
    <x v="160"/>
    <x v="190"/>
    <x v="239"/>
    <x v="134"/>
    <x v="233"/>
    <x v="0"/>
    <x v="147"/>
    <x v="245"/>
    <x v="0"/>
  </r>
  <r>
    <x v="12"/>
    <x v="15"/>
    <x v="14"/>
    <x v="2"/>
    <x v="8"/>
    <x v="255"/>
    <x v="191"/>
    <x v="240"/>
    <x v="175"/>
    <x v="39"/>
    <x v="0"/>
    <x v="236"/>
    <x v="246"/>
    <x v="0"/>
  </r>
  <r>
    <x v="13"/>
    <x v="15"/>
    <x v="14"/>
    <x v="2"/>
    <x v="8"/>
    <x v="256"/>
    <x v="192"/>
    <x v="3"/>
    <x v="201"/>
    <x v="113"/>
    <x v="0"/>
    <x v="237"/>
    <x v="247"/>
    <x v="0"/>
  </r>
  <r>
    <x v="14"/>
    <x v="15"/>
    <x v="14"/>
    <x v="2"/>
    <x v="8"/>
    <x v="257"/>
    <x v="193"/>
    <x v="241"/>
    <x v="202"/>
    <x v="36"/>
    <x v="0"/>
    <x v="238"/>
    <x v="248"/>
    <x v="0"/>
  </r>
  <r>
    <x v="15"/>
    <x v="15"/>
    <x v="14"/>
    <x v="2"/>
    <x v="8"/>
    <x v="258"/>
    <x v="50"/>
    <x v="242"/>
    <x v="203"/>
    <x v="234"/>
    <x v="1"/>
    <x v="143"/>
    <x v="249"/>
    <x v="0"/>
  </r>
  <r>
    <x v="16"/>
    <x v="15"/>
    <x v="14"/>
    <x v="2"/>
    <x v="8"/>
    <x v="259"/>
    <x v="24"/>
    <x v="243"/>
    <x v="191"/>
    <x v="106"/>
    <x v="1"/>
    <x v="239"/>
    <x v="250"/>
    <x v="0"/>
  </r>
  <r>
    <x v="0"/>
    <x v="16"/>
    <x v="15"/>
    <x v="2"/>
    <x v="8"/>
    <x v="260"/>
    <x v="24"/>
    <x v="244"/>
    <x v="35"/>
    <x v="88"/>
    <x v="0"/>
    <x v="240"/>
    <x v="251"/>
    <x v="0"/>
  </r>
  <r>
    <x v="1"/>
    <x v="16"/>
    <x v="15"/>
    <x v="2"/>
    <x v="8"/>
    <x v="261"/>
    <x v="17"/>
    <x v="245"/>
    <x v="47"/>
    <x v="142"/>
    <x v="0"/>
    <x v="241"/>
    <x v="252"/>
    <x v="0"/>
  </r>
  <r>
    <x v="2"/>
    <x v="16"/>
    <x v="15"/>
    <x v="2"/>
    <x v="8"/>
    <x v="262"/>
    <x v="194"/>
    <x v="139"/>
    <x v="48"/>
    <x v="235"/>
    <x v="0"/>
    <x v="242"/>
    <x v="253"/>
    <x v="0"/>
  </r>
  <r>
    <x v="3"/>
    <x v="16"/>
    <x v="15"/>
    <x v="2"/>
    <x v="8"/>
    <x v="263"/>
    <x v="195"/>
    <x v="246"/>
    <x v="49"/>
    <x v="127"/>
    <x v="0"/>
    <x v="243"/>
    <x v="254"/>
    <x v="0"/>
  </r>
  <r>
    <x v="4"/>
    <x v="16"/>
    <x v="15"/>
    <x v="2"/>
    <x v="8"/>
    <x v="264"/>
    <x v="196"/>
    <x v="52"/>
    <x v="41"/>
    <x v="100"/>
    <x v="0"/>
    <x v="146"/>
    <x v="255"/>
    <x v="0"/>
  </r>
  <r>
    <x v="5"/>
    <x v="16"/>
    <x v="15"/>
    <x v="2"/>
    <x v="8"/>
    <x v="265"/>
    <x v="46"/>
    <x v="139"/>
    <x v="37"/>
    <x v="236"/>
    <x v="0"/>
    <x v="244"/>
    <x v="256"/>
    <x v="0"/>
  </r>
  <r>
    <x v="6"/>
    <x v="16"/>
    <x v="15"/>
    <x v="2"/>
    <x v="8"/>
    <x v="266"/>
    <x v="21"/>
    <x v="247"/>
    <x v="127"/>
    <x v="98"/>
    <x v="0"/>
    <x v="245"/>
    <x v="257"/>
    <x v="0"/>
  </r>
  <r>
    <x v="7"/>
    <x v="16"/>
    <x v="15"/>
    <x v="2"/>
    <x v="8"/>
    <x v="267"/>
    <x v="5"/>
    <x v="248"/>
    <x v="204"/>
    <x v="95"/>
    <x v="0"/>
    <x v="246"/>
    <x v="258"/>
    <x v="0"/>
  </r>
  <r>
    <x v="8"/>
    <x v="16"/>
    <x v="15"/>
    <x v="2"/>
    <x v="8"/>
    <x v="268"/>
    <x v="184"/>
    <x v="249"/>
    <x v="113"/>
    <x v="146"/>
    <x v="0"/>
    <x v="247"/>
    <x v="259"/>
    <x v="0"/>
  </r>
  <r>
    <x v="9"/>
    <x v="16"/>
    <x v="15"/>
    <x v="2"/>
    <x v="8"/>
    <x v="269"/>
    <x v="197"/>
    <x v="75"/>
    <x v="138"/>
    <x v="237"/>
    <x v="0"/>
    <x v="248"/>
    <x v="260"/>
    <x v="0"/>
  </r>
  <r>
    <x v="10"/>
    <x v="16"/>
    <x v="15"/>
    <x v="2"/>
    <x v="8"/>
    <x v="270"/>
    <x v="198"/>
    <x v="250"/>
    <x v="205"/>
    <x v="238"/>
    <x v="0"/>
    <x v="104"/>
    <x v="241"/>
    <x v="0"/>
  </r>
  <r>
    <x v="11"/>
    <x v="16"/>
    <x v="15"/>
    <x v="2"/>
    <x v="8"/>
    <x v="271"/>
    <x v="199"/>
    <x v="251"/>
    <x v="140"/>
    <x v="239"/>
    <x v="0"/>
    <x v="162"/>
    <x v="261"/>
    <x v="0"/>
  </r>
  <r>
    <x v="12"/>
    <x v="16"/>
    <x v="15"/>
    <x v="2"/>
    <x v="8"/>
    <x v="272"/>
    <x v="200"/>
    <x v="252"/>
    <x v="172"/>
    <x v="71"/>
    <x v="0"/>
    <x v="249"/>
    <x v="262"/>
    <x v="0"/>
  </r>
  <r>
    <x v="13"/>
    <x v="16"/>
    <x v="15"/>
    <x v="2"/>
    <x v="8"/>
    <x v="273"/>
    <x v="201"/>
    <x v="253"/>
    <x v="206"/>
    <x v="240"/>
    <x v="0"/>
    <x v="250"/>
    <x v="263"/>
    <x v="0"/>
  </r>
  <r>
    <x v="14"/>
    <x v="16"/>
    <x v="15"/>
    <x v="2"/>
    <x v="8"/>
    <x v="274"/>
    <x v="5"/>
    <x v="254"/>
    <x v="207"/>
    <x v="241"/>
    <x v="0"/>
    <x v="251"/>
    <x v="264"/>
    <x v="0"/>
  </r>
  <r>
    <x v="15"/>
    <x v="16"/>
    <x v="15"/>
    <x v="2"/>
    <x v="8"/>
    <x v="275"/>
    <x v="202"/>
    <x v="150"/>
    <x v="28"/>
    <x v="242"/>
    <x v="1"/>
    <x v="252"/>
    <x v="265"/>
    <x v="0"/>
  </r>
  <r>
    <x v="16"/>
    <x v="16"/>
    <x v="15"/>
    <x v="2"/>
    <x v="8"/>
    <x v="276"/>
    <x v="51"/>
    <x v="2"/>
    <x v="208"/>
    <x v="243"/>
    <x v="1"/>
    <x v="253"/>
    <x v="266"/>
    <x v="0"/>
  </r>
  <r>
    <x v="0"/>
    <x v="17"/>
    <x v="16"/>
    <x v="4"/>
    <x v="9"/>
    <x v="277"/>
    <x v="203"/>
    <x v="95"/>
    <x v="52"/>
    <x v="244"/>
    <x v="0"/>
    <x v="254"/>
    <x v="267"/>
    <x v="0"/>
  </r>
  <r>
    <x v="1"/>
    <x v="17"/>
    <x v="16"/>
    <x v="4"/>
    <x v="9"/>
    <x v="278"/>
    <x v="175"/>
    <x v="66"/>
    <x v="62"/>
    <x v="244"/>
    <x v="0"/>
    <x v="255"/>
    <x v="268"/>
    <x v="0"/>
  </r>
  <r>
    <x v="2"/>
    <x v="17"/>
    <x v="16"/>
    <x v="4"/>
    <x v="9"/>
    <x v="279"/>
    <x v="204"/>
    <x v="255"/>
    <x v="204"/>
    <x v="245"/>
    <x v="0"/>
    <x v="256"/>
    <x v="269"/>
    <x v="0"/>
  </r>
  <r>
    <x v="3"/>
    <x v="17"/>
    <x v="16"/>
    <x v="4"/>
    <x v="9"/>
    <x v="149"/>
    <x v="205"/>
    <x v="256"/>
    <x v="128"/>
    <x v="66"/>
    <x v="0"/>
    <x v="137"/>
    <x v="270"/>
    <x v="0"/>
  </r>
  <r>
    <x v="4"/>
    <x v="17"/>
    <x v="16"/>
    <x v="4"/>
    <x v="9"/>
    <x v="76"/>
    <x v="206"/>
    <x v="257"/>
    <x v="63"/>
    <x v="66"/>
    <x v="0"/>
    <x v="257"/>
    <x v="271"/>
    <x v="0"/>
  </r>
  <r>
    <x v="5"/>
    <x v="17"/>
    <x v="16"/>
    <x v="4"/>
    <x v="9"/>
    <x v="58"/>
    <x v="108"/>
    <x v="258"/>
    <x v="209"/>
    <x v="67"/>
    <x v="0"/>
    <x v="258"/>
    <x v="272"/>
    <x v="0"/>
  </r>
  <r>
    <x v="6"/>
    <x v="17"/>
    <x v="16"/>
    <x v="4"/>
    <x v="9"/>
    <x v="280"/>
    <x v="81"/>
    <x v="259"/>
    <x v="85"/>
    <x v="104"/>
    <x v="0"/>
    <x v="259"/>
    <x v="273"/>
    <x v="0"/>
  </r>
  <r>
    <x v="7"/>
    <x v="17"/>
    <x v="16"/>
    <x v="4"/>
    <x v="9"/>
    <x v="281"/>
    <x v="155"/>
    <x v="94"/>
    <x v="65"/>
    <x v="246"/>
    <x v="0"/>
    <x v="260"/>
    <x v="274"/>
    <x v="0"/>
  </r>
  <r>
    <x v="8"/>
    <x v="17"/>
    <x v="16"/>
    <x v="4"/>
    <x v="9"/>
    <x v="282"/>
    <x v="207"/>
    <x v="246"/>
    <x v="25"/>
    <x v="69"/>
    <x v="0"/>
    <x v="261"/>
    <x v="275"/>
    <x v="0"/>
  </r>
  <r>
    <x v="9"/>
    <x v="17"/>
    <x v="16"/>
    <x v="4"/>
    <x v="9"/>
    <x v="283"/>
    <x v="208"/>
    <x v="80"/>
    <x v="83"/>
    <x v="247"/>
    <x v="0"/>
    <x v="262"/>
    <x v="276"/>
    <x v="0"/>
  </r>
  <r>
    <x v="10"/>
    <x v="17"/>
    <x v="16"/>
    <x v="4"/>
    <x v="9"/>
    <x v="284"/>
    <x v="209"/>
    <x v="17"/>
    <x v="210"/>
    <x v="248"/>
    <x v="0"/>
    <x v="263"/>
    <x v="277"/>
    <x v="0"/>
  </r>
  <r>
    <x v="11"/>
    <x v="17"/>
    <x v="16"/>
    <x v="4"/>
    <x v="9"/>
    <x v="273"/>
    <x v="156"/>
    <x v="248"/>
    <x v="206"/>
    <x v="249"/>
    <x v="0"/>
    <x v="250"/>
    <x v="278"/>
    <x v="0"/>
  </r>
  <r>
    <x v="12"/>
    <x v="17"/>
    <x v="16"/>
    <x v="4"/>
    <x v="9"/>
    <x v="285"/>
    <x v="210"/>
    <x v="260"/>
    <x v="211"/>
    <x v="250"/>
    <x v="0"/>
    <x v="104"/>
    <x v="279"/>
    <x v="0"/>
  </r>
  <r>
    <x v="13"/>
    <x v="17"/>
    <x v="16"/>
    <x v="4"/>
    <x v="9"/>
    <x v="286"/>
    <x v="211"/>
    <x v="55"/>
    <x v="203"/>
    <x v="135"/>
    <x v="0"/>
    <x v="264"/>
    <x v="280"/>
    <x v="0"/>
  </r>
  <r>
    <x v="14"/>
    <x v="17"/>
    <x v="16"/>
    <x v="4"/>
    <x v="9"/>
    <x v="287"/>
    <x v="212"/>
    <x v="261"/>
    <x v="212"/>
    <x v="106"/>
    <x v="0"/>
    <x v="265"/>
    <x v="281"/>
    <x v="0"/>
  </r>
  <r>
    <x v="15"/>
    <x v="17"/>
    <x v="16"/>
    <x v="4"/>
    <x v="9"/>
    <x v="288"/>
    <x v="143"/>
    <x v="262"/>
    <x v="213"/>
    <x v="20"/>
    <x v="1"/>
    <x v="266"/>
    <x v="282"/>
    <x v="0"/>
  </r>
  <r>
    <x v="16"/>
    <x v="17"/>
    <x v="16"/>
    <x v="4"/>
    <x v="9"/>
    <x v="289"/>
    <x v="81"/>
    <x v="263"/>
    <x v="214"/>
    <x v="251"/>
    <x v="1"/>
    <x v="267"/>
    <x v="283"/>
    <x v="0"/>
  </r>
  <r>
    <x v="0"/>
    <x v="18"/>
    <x v="17"/>
    <x v="5"/>
    <x v="10"/>
    <x v="290"/>
    <x v="212"/>
    <x v="264"/>
    <x v="215"/>
    <x v="252"/>
    <x v="0"/>
    <x v="268"/>
    <x v="284"/>
    <x v="0"/>
  </r>
  <r>
    <x v="1"/>
    <x v="18"/>
    <x v="17"/>
    <x v="5"/>
    <x v="10"/>
    <x v="291"/>
    <x v="141"/>
    <x v="128"/>
    <x v="87"/>
    <x v="253"/>
    <x v="0"/>
    <x v="269"/>
    <x v="285"/>
    <x v="0"/>
  </r>
  <r>
    <x v="2"/>
    <x v="18"/>
    <x v="17"/>
    <x v="5"/>
    <x v="10"/>
    <x v="292"/>
    <x v="81"/>
    <x v="265"/>
    <x v="216"/>
    <x v="254"/>
    <x v="0"/>
    <x v="270"/>
    <x v="286"/>
    <x v="0"/>
  </r>
  <r>
    <x v="3"/>
    <x v="18"/>
    <x v="17"/>
    <x v="5"/>
    <x v="10"/>
    <x v="293"/>
    <x v="213"/>
    <x v="39"/>
    <x v="86"/>
    <x v="64"/>
    <x v="0"/>
    <x v="271"/>
    <x v="287"/>
    <x v="0"/>
  </r>
  <r>
    <x v="4"/>
    <x v="18"/>
    <x v="17"/>
    <x v="5"/>
    <x v="10"/>
    <x v="294"/>
    <x v="214"/>
    <x v="128"/>
    <x v="217"/>
    <x v="255"/>
    <x v="0"/>
    <x v="243"/>
    <x v="288"/>
    <x v="0"/>
  </r>
  <r>
    <x v="5"/>
    <x v="18"/>
    <x v="17"/>
    <x v="5"/>
    <x v="10"/>
    <x v="295"/>
    <x v="210"/>
    <x v="244"/>
    <x v="218"/>
    <x v="237"/>
    <x v="0"/>
    <x v="272"/>
    <x v="289"/>
    <x v="0"/>
  </r>
  <r>
    <x v="6"/>
    <x v="18"/>
    <x v="17"/>
    <x v="5"/>
    <x v="10"/>
    <x v="296"/>
    <x v="215"/>
    <x v="266"/>
    <x v="65"/>
    <x v="256"/>
    <x v="0"/>
    <x v="273"/>
    <x v="290"/>
    <x v="0"/>
  </r>
  <r>
    <x v="7"/>
    <x v="18"/>
    <x v="17"/>
    <x v="5"/>
    <x v="10"/>
    <x v="297"/>
    <x v="216"/>
    <x v="40"/>
    <x v="219"/>
    <x v="257"/>
    <x v="0"/>
    <x v="274"/>
    <x v="291"/>
    <x v="0"/>
  </r>
  <r>
    <x v="8"/>
    <x v="18"/>
    <x v="17"/>
    <x v="5"/>
    <x v="10"/>
    <x v="298"/>
    <x v="217"/>
    <x v="267"/>
    <x v="220"/>
    <x v="258"/>
    <x v="0"/>
    <x v="275"/>
    <x v="99"/>
    <x v="0"/>
  </r>
  <r>
    <x v="9"/>
    <x v="18"/>
    <x v="17"/>
    <x v="5"/>
    <x v="10"/>
    <x v="299"/>
    <x v="218"/>
    <x v="268"/>
    <x v="132"/>
    <x v="148"/>
    <x v="0"/>
    <x v="276"/>
    <x v="292"/>
    <x v="0"/>
  </r>
  <r>
    <x v="10"/>
    <x v="18"/>
    <x v="17"/>
    <x v="5"/>
    <x v="10"/>
    <x v="300"/>
    <x v="219"/>
    <x v="269"/>
    <x v="221"/>
    <x v="259"/>
    <x v="0"/>
    <x v="277"/>
    <x v="293"/>
    <x v="0"/>
  </r>
  <r>
    <x v="11"/>
    <x v="18"/>
    <x v="17"/>
    <x v="5"/>
    <x v="10"/>
    <x v="301"/>
    <x v="84"/>
    <x v="270"/>
    <x v="208"/>
    <x v="260"/>
    <x v="0"/>
    <x v="278"/>
    <x v="294"/>
    <x v="0"/>
  </r>
  <r>
    <x v="12"/>
    <x v="18"/>
    <x v="17"/>
    <x v="5"/>
    <x v="10"/>
    <x v="302"/>
    <x v="82"/>
    <x v="260"/>
    <x v="222"/>
    <x v="261"/>
    <x v="0"/>
    <x v="279"/>
    <x v="295"/>
    <x v="0"/>
  </r>
  <r>
    <x v="13"/>
    <x v="18"/>
    <x v="17"/>
    <x v="5"/>
    <x v="10"/>
    <x v="303"/>
    <x v="143"/>
    <x v="271"/>
    <x v="223"/>
    <x v="73"/>
    <x v="0"/>
    <x v="280"/>
    <x v="99"/>
    <x v="0"/>
  </r>
  <r>
    <x v="14"/>
    <x v="18"/>
    <x v="17"/>
    <x v="5"/>
    <x v="10"/>
    <x v="304"/>
    <x v="220"/>
    <x v="272"/>
    <x v="224"/>
    <x v="262"/>
    <x v="0"/>
    <x v="245"/>
    <x v="296"/>
    <x v="0"/>
  </r>
  <r>
    <x v="15"/>
    <x v="18"/>
    <x v="17"/>
    <x v="5"/>
    <x v="10"/>
    <x v="305"/>
    <x v="167"/>
    <x v="273"/>
    <x v="225"/>
    <x v="263"/>
    <x v="1"/>
    <x v="242"/>
    <x v="297"/>
    <x v="0"/>
  </r>
  <r>
    <x v="16"/>
    <x v="18"/>
    <x v="17"/>
    <x v="5"/>
    <x v="10"/>
    <x v="306"/>
    <x v="168"/>
    <x v="274"/>
    <x v="226"/>
    <x v="132"/>
    <x v="1"/>
    <x v="281"/>
    <x v="298"/>
    <x v="0"/>
  </r>
  <r>
    <x v="0"/>
    <x v="19"/>
    <x v="18"/>
    <x v="6"/>
    <x v="9"/>
    <x v="307"/>
    <x v="221"/>
    <x v="159"/>
    <x v="62"/>
    <x v="264"/>
    <x v="0"/>
    <x v="282"/>
    <x v="299"/>
    <x v="0"/>
  </r>
  <r>
    <x v="1"/>
    <x v="19"/>
    <x v="18"/>
    <x v="6"/>
    <x v="9"/>
    <x v="308"/>
    <x v="130"/>
    <x v="154"/>
    <x v="61"/>
    <x v="237"/>
    <x v="0"/>
    <x v="283"/>
    <x v="300"/>
    <x v="0"/>
  </r>
  <r>
    <x v="2"/>
    <x v="19"/>
    <x v="18"/>
    <x v="6"/>
    <x v="9"/>
    <x v="309"/>
    <x v="88"/>
    <x v="275"/>
    <x v="43"/>
    <x v="265"/>
    <x v="0"/>
    <x v="284"/>
    <x v="301"/>
    <x v="0"/>
  </r>
  <r>
    <x v="3"/>
    <x v="19"/>
    <x v="18"/>
    <x v="6"/>
    <x v="9"/>
    <x v="310"/>
    <x v="82"/>
    <x v="276"/>
    <x v="23"/>
    <x v="266"/>
    <x v="0"/>
    <x v="285"/>
    <x v="302"/>
    <x v="0"/>
  </r>
  <r>
    <x v="4"/>
    <x v="19"/>
    <x v="18"/>
    <x v="6"/>
    <x v="9"/>
    <x v="311"/>
    <x v="222"/>
    <x v="127"/>
    <x v="139"/>
    <x v="267"/>
    <x v="0"/>
    <x v="286"/>
    <x v="303"/>
    <x v="0"/>
  </r>
  <r>
    <x v="5"/>
    <x v="19"/>
    <x v="18"/>
    <x v="6"/>
    <x v="9"/>
    <x v="312"/>
    <x v="167"/>
    <x v="277"/>
    <x v="138"/>
    <x v="268"/>
    <x v="0"/>
    <x v="287"/>
    <x v="304"/>
    <x v="0"/>
  </r>
  <r>
    <x v="6"/>
    <x v="19"/>
    <x v="18"/>
    <x v="6"/>
    <x v="9"/>
    <x v="313"/>
    <x v="75"/>
    <x v="34"/>
    <x v="84"/>
    <x v="269"/>
    <x v="0"/>
    <x v="288"/>
    <x v="305"/>
    <x v="0"/>
  </r>
  <r>
    <x v="7"/>
    <x v="19"/>
    <x v="18"/>
    <x v="6"/>
    <x v="9"/>
    <x v="314"/>
    <x v="73"/>
    <x v="278"/>
    <x v="227"/>
    <x v="270"/>
    <x v="0"/>
    <x v="289"/>
    <x v="306"/>
    <x v="0"/>
  </r>
  <r>
    <x v="8"/>
    <x v="19"/>
    <x v="18"/>
    <x v="6"/>
    <x v="9"/>
    <x v="315"/>
    <x v="75"/>
    <x v="141"/>
    <x v="216"/>
    <x v="271"/>
    <x v="0"/>
    <x v="290"/>
    <x v="307"/>
    <x v="0"/>
  </r>
  <r>
    <x v="9"/>
    <x v="19"/>
    <x v="18"/>
    <x v="6"/>
    <x v="9"/>
    <x v="316"/>
    <x v="223"/>
    <x v="35"/>
    <x v="228"/>
    <x v="272"/>
    <x v="0"/>
    <x v="291"/>
    <x v="308"/>
    <x v="0"/>
  </r>
  <r>
    <x v="10"/>
    <x v="19"/>
    <x v="18"/>
    <x v="6"/>
    <x v="9"/>
    <x v="107"/>
    <x v="146"/>
    <x v="279"/>
    <x v="86"/>
    <x v="273"/>
    <x v="0"/>
    <x v="292"/>
    <x v="309"/>
    <x v="0"/>
  </r>
  <r>
    <x v="11"/>
    <x v="19"/>
    <x v="18"/>
    <x v="6"/>
    <x v="9"/>
    <x v="317"/>
    <x v="224"/>
    <x v="280"/>
    <x v="88"/>
    <x v="274"/>
    <x v="0"/>
    <x v="293"/>
    <x v="310"/>
    <x v="0"/>
  </r>
  <r>
    <x v="12"/>
    <x v="19"/>
    <x v="18"/>
    <x v="6"/>
    <x v="9"/>
    <x v="318"/>
    <x v="225"/>
    <x v="272"/>
    <x v="71"/>
    <x v="52"/>
    <x v="0"/>
    <x v="294"/>
    <x v="311"/>
    <x v="0"/>
  </r>
  <r>
    <x v="13"/>
    <x v="19"/>
    <x v="18"/>
    <x v="6"/>
    <x v="9"/>
    <x v="319"/>
    <x v="226"/>
    <x v="67"/>
    <x v="208"/>
    <x v="150"/>
    <x v="0"/>
    <x v="295"/>
    <x v="312"/>
    <x v="0"/>
  </r>
  <r>
    <x v="14"/>
    <x v="19"/>
    <x v="18"/>
    <x v="6"/>
    <x v="9"/>
    <x v="320"/>
    <x v="222"/>
    <x v="250"/>
    <x v="229"/>
    <x v="50"/>
    <x v="0"/>
    <x v="296"/>
    <x v="313"/>
    <x v="0"/>
  </r>
  <r>
    <x v="15"/>
    <x v="19"/>
    <x v="18"/>
    <x v="6"/>
    <x v="9"/>
    <x v="321"/>
    <x v="212"/>
    <x v="62"/>
    <x v="230"/>
    <x v="275"/>
    <x v="1"/>
    <x v="297"/>
    <x v="314"/>
    <x v="0"/>
  </r>
  <r>
    <x v="16"/>
    <x v="19"/>
    <x v="18"/>
    <x v="6"/>
    <x v="9"/>
    <x v="322"/>
    <x v="88"/>
    <x v="76"/>
    <x v="213"/>
    <x v="20"/>
    <x v="1"/>
    <x v="298"/>
    <x v="315"/>
    <x v="0"/>
  </r>
  <r>
    <x v="0"/>
    <x v="20"/>
    <x v="19"/>
    <x v="7"/>
    <x v="9"/>
    <x v="323"/>
    <x v="227"/>
    <x v="281"/>
    <x v="231"/>
    <x v="276"/>
    <x v="0"/>
    <x v="299"/>
    <x v="316"/>
    <x v="0"/>
  </r>
  <r>
    <x v="1"/>
    <x v="20"/>
    <x v="19"/>
    <x v="7"/>
    <x v="9"/>
    <x v="324"/>
    <x v="215"/>
    <x v="264"/>
    <x v="232"/>
    <x v="277"/>
    <x v="0"/>
    <x v="300"/>
    <x v="317"/>
    <x v="0"/>
  </r>
  <r>
    <x v="2"/>
    <x v="20"/>
    <x v="19"/>
    <x v="7"/>
    <x v="9"/>
    <x v="290"/>
    <x v="139"/>
    <x v="216"/>
    <x v="215"/>
    <x v="278"/>
    <x v="0"/>
    <x v="268"/>
    <x v="318"/>
    <x v="0"/>
  </r>
  <r>
    <x v="3"/>
    <x v="20"/>
    <x v="19"/>
    <x v="7"/>
    <x v="9"/>
    <x v="325"/>
    <x v="228"/>
    <x v="149"/>
    <x v="233"/>
    <x v="17"/>
    <x v="0"/>
    <x v="301"/>
    <x v="319"/>
    <x v="0"/>
  </r>
  <r>
    <x v="4"/>
    <x v="20"/>
    <x v="19"/>
    <x v="7"/>
    <x v="9"/>
    <x v="314"/>
    <x v="207"/>
    <x v="282"/>
    <x v="227"/>
    <x v="270"/>
    <x v="0"/>
    <x v="289"/>
    <x v="306"/>
    <x v="0"/>
  </r>
  <r>
    <x v="5"/>
    <x v="20"/>
    <x v="19"/>
    <x v="7"/>
    <x v="9"/>
    <x v="326"/>
    <x v="163"/>
    <x v="259"/>
    <x v="218"/>
    <x v="279"/>
    <x v="0"/>
    <x v="302"/>
    <x v="320"/>
    <x v="0"/>
  </r>
  <r>
    <x v="6"/>
    <x v="20"/>
    <x v="19"/>
    <x v="7"/>
    <x v="9"/>
    <x v="327"/>
    <x v="229"/>
    <x v="276"/>
    <x v="66"/>
    <x v="280"/>
    <x v="0"/>
    <x v="303"/>
    <x v="321"/>
    <x v="0"/>
  </r>
  <r>
    <x v="7"/>
    <x v="20"/>
    <x v="19"/>
    <x v="7"/>
    <x v="9"/>
    <x v="328"/>
    <x v="230"/>
    <x v="94"/>
    <x v="64"/>
    <x v="281"/>
    <x v="0"/>
    <x v="304"/>
    <x v="322"/>
    <x v="0"/>
  </r>
  <r>
    <x v="8"/>
    <x v="20"/>
    <x v="19"/>
    <x v="7"/>
    <x v="9"/>
    <x v="329"/>
    <x v="231"/>
    <x v="283"/>
    <x v="234"/>
    <x v="104"/>
    <x v="0"/>
    <x v="305"/>
    <x v="323"/>
    <x v="0"/>
  </r>
  <r>
    <x v="9"/>
    <x v="20"/>
    <x v="19"/>
    <x v="7"/>
    <x v="9"/>
    <x v="330"/>
    <x v="232"/>
    <x v="244"/>
    <x v="85"/>
    <x v="252"/>
    <x v="0"/>
    <x v="306"/>
    <x v="324"/>
    <x v="0"/>
  </r>
  <r>
    <x v="10"/>
    <x v="20"/>
    <x v="19"/>
    <x v="7"/>
    <x v="9"/>
    <x v="331"/>
    <x v="163"/>
    <x v="284"/>
    <x v="64"/>
    <x v="281"/>
    <x v="0"/>
    <x v="307"/>
    <x v="325"/>
    <x v="0"/>
  </r>
  <r>
    <x v="11"/>
    <x v="20"/>
    <x v="19"/>
    <x v="7"/>
    <x v="9"/>
    <x v="332"/>
    <x v="182"/>
    <x v="285"/>
    <x v="26"/>
    <x v="247"/>
    <x v="0"/>
    <x v="308"/>
    <x v="326"/>
    <x v="0"/>
  </r>
  <r>
    <x v="12"/>
    <x v="20"/>
    <x v="19"/>
    <x v="7"/>
    <x v="9"/>
    <x v="333"/>
    <x v="231"/>
    <x v="55"/>
    <x v="235"/>
    <x v="152"/>
    <x v="0"/>
    <x v="309"/>
    <x v="268"/>
    <x v="0"/>
  </r>
  <r>
    <x v="13"/>
    <x v="20"/>
    <x v="19"/>
    <x v="7"/>
    <x v="9"/>
    <x v="334"/>
    <x v="178"/>
    <x v="286"/>
    <x v="236"/>
    <x v="282"/>
    <x v="0"/>
    <x v="310"/>
    <x v="327"/>
    <x v="0"/>
  </r>
  <r>
    <x v="14"/>
    <x v="20"/>
    <x v="19"/>
    <x v="7"/>
    <x v="9"/>
    <x v="335"/>
    <x v="227"/>
    <x v="287"/>
    <x v="220"/>
    <x v="283"/>
    <x v="0"/>
    <x v="311"/>
    <x v="328"/>
    <x v="0"/>
  </r>
  <r>
    <x v="15"/>
    <x v="20"/>
    <x v="19"/>
    <x v="7"/>
    <x v="9"/>
    <x v="336"/>
    <x v="220"/>
    <x v="21"/>
    <x v="132"/>
    <x v="112"/>
    <x v="1"/>
    <x v="312"/>
    <x v="329"/>
    <x v="0"/>
  </r>
  <r>
    <x v="16"/>
    <x v="20"/>
    <x v="19"/>
    <x v="7"/>
    <x v="9"/>
    <x v="337"/>
    <x v="233"/>
    <x v="41"/>
    <x v="237"/>
    <x v="284"/>
    <x v="1"/>
    <x v="313"/>
    <x v="330"/>
    <x v="0"/>
  </r>
  <r>
    <x v="0"/>
    <x v="21"/>
    <x v="20"/>
    <x v="2"/>
    <x v="11"/>
    <x v="338"/>
    <x v="47"/>
    <x v="288"/>
    <x v="238"/>
    <x v="285"/>
    <x v="0"/>
    <x v="314"/>
    <x v="331"/>
    <x v="0"/>
  </r>
  <r>
    <x v="1"/>
    <x v="21"/>
    <x v="20"/>
    <x v="2"/>
    <x v="11"/>
    <x v="339"/>
    <x v="32"/>
    <x v="159"/>
    <x v="239"/>
    <x v="85"/>
    <x v="0"/>
    <x v="315"/>
    <x v="332"/>
    <x v="0"/>
  </r>
  <r>
    <x v="2"/>
    <x v="21"/>
    <x v="20"/>
    <x v="2"/>
    <x v="11"/>
    <x v="340"/>
    <x v="0"/>
    <x v="161"/>
    <x v="58"/>
    <x v="286"/>
    <x v="0"/>
    <x v="316"/>
    <x v="333"/>
    <x v="0"/>
  </r>
  <r>
    <x v="3"/>
    <x v="21"/>
    <x v="20"/>
    <x v="2"/>
    <x v="11"/>
    <x v="341"/>
    <x v="6"/>
    <x v="289"/>
    <x v="240"/>
    <x v="287"/>
    <x v="0"/>
    <x v="317"/>
    <x v="334"/>
    <x v="0"/>
  </r>
  <r>
    <x v="4"/>
    <x v="21"/>
    <x v="20"/>
    <x v="2"/>
    <x v="11"/>
    <x v="342"/>
    <x v="92"/>
    <x v="290"/>
    <x v="240"/>
    <x v="287"/>
    <x v="0"/>
    <x v="103"/>
    <x v="335"/>
    <x v="0"/>
  </r>
  <r>
    <x v="5"/>
    <x v="21"/>
    <x v="20"/>
    <x v="2"/>
    <x v="11"/>
    <x v="343"/>
    <x v="186"/>
    <x v="276"/>
    <x v="59"/>
    <x v="288"/>
    <x v="0"/>
    <x v="318"/>
    <x v="336"/>
    <x v="0"/>
  </r>
  <r>
    <x v="6"/>
    <x v="21"/>
    <x v="20"/>
    <x v="2"/>
    <x v="11"/>
    <x v="344"/>
    <x v="5"/>
    <x v="267"/>
    <x v="19"/>
    <x v="289"/>
    <x v="0"/>
    <x v="135"/>
    <x v="102"/>
    <x v="0"/>
  </r>
  <r>
    <x v="7"/>
    <x v="21"/>
    <x v="20"/>
    <x v="2"/>
    <x v="11"/>
    <x v="345"/>
    <x v="30"/>
    <x v="286"/>
    <x v="49"/>
    <x v="290"/>
    <x v="0"/>
    <x v="319"/>
    <x v="284"/>
    <x v="0"/>
  </r>
  <r>
    <x v="8"/>
    <x v="21"/>
    <x v="20"/>
    <x v="2"/>
    <x v="11"/>
    <x v="346"/>
    <x v="20"/>
    <x v="201"/>
    <x v="241"/>
    <x v="236"/>
    <x v="0"/>
    <x v="320"/>
    <x v="337"/>
    <x v="0"/>
  </r>
  <r>
    <x v="9"/>
    <x v="21"/>
    <x v="20"/>
    <x v="2"/>
    <x v="11"/>
    <x v="347"/>
    <x v="29"/>
    <x v="37"/>
    <x v="61"/>
    <x v="291"/>
    <x v="0"/>
    <x v="321"/>
    <x v="338"/>
    <x v="0"/>
  </r>
  <r>
    <x v="10"/>
    <x v="21"/>
    <x v="20"/>
    <x v="2"/>
    <x v="11"/>
    <x v="348"/>
    <x v="33"/>
    <x v="291"/>
    <x v="43"/>
    <x v="292"/>
    <x v="0"/>
    <x v="322"/>
    <x v="339"/>
    <x v="0"/>
  </r>
  <r>
    <x v="11"/>
    <x v="21"/>
    <x v="20"/>
    <x v="2"/>
    <x v="11"/>
    <x v="349"/>
    <x v="27"/>
    <x v="292"/>
    <x v="114"/>
    <x v="130"/>
    <x v="0"/>
    <x v="323"/>
    <x v="340"/>
    <x v="0"/>
  </r>
  <r>
    <x v="12"/>
    <x v="21"/>
    <x v="20"/>
    <x v="2"/>
    <x v="11"/>
    <x v="45"/>
    <x v="169"/>
    <x v="58"/>
    <x v="65"/>
    <x v="256"/>
    <x v="0"/>
    <x v="104"/>
    <x v="99"/>
    <x v="0"/>
  </r>
  <r>
    <x v="13"/>
    <x v="21"/>
    <x v="20"/>
    <x v="2"/>
    <x v="11"/>
    <x v="350"/>
    <x v="234"/>
    <x v="293"/>
    <x v="67"/>
    <x v="293"/>
    <x v="0"/>
    <x v="324"/>
    <x v="341"/>
    <x v="0"/>
  </r>
  <r>
    <x v="14"/>
    <x v="21"/>
    <x v="20"/>
    <x v="2"/>
    <x v="11"/>
    <x v="351"/>
    <x v="235"/>
    <x v="266"/>
    <x v="127"/>
    <x v="89"/>
    <x v="0"/>
    <x v="325"/>
    <x v="342"/>
    <x v="0"/>
  </r>
  <r>
    <x v="15"/>
    <x v="21"/>
    <x v="20"/>
    <x v="2"/>
    <x v="11"/>
    <x v="40"/>
    <x v="1"/>
    <x v="294"/>
    <x v="63"/>
    <x v="129"/>
    <x v="1"/>
    <x v="122"/>
    <x v="130"/>
    <x v="0"/>
  </r>
  <r>
    <x v="16"/>
    <x v="21"/>
    <x v="20"/>
    <x v="2"/>
    <x v="11"/>
    <x v="352"/>
    <x v="31"/>
    <x v="249"/>
    <x v="64"/>
    <x v="238"/>
    <x v="1"/>
    <x v="151"/>
    <x v="343"/>
    <x v="0"/>
  </r>
  <r>
    <x v="0"/>
    <x v="22"/>
    <x v="21"/>
    <x v="2"/>
    <x v="12"/>
    <x v="353"/>
    <x v="113"/>
    <x v="295"/>
    <x v="242"/>
    <x v="294"/>
    <x v="0"/>
    <x v="255"/>
    <x v="344"/>
    <x v="0"/>
  </r>
  <r>
    <x v="1"/>
    <x v="22"/>
    <x v="21"/>
    <x v="2"/>
    <x v="12"/>
    <x v="354"/>
    <x v="216"/>
    <x v="296"/>
    <x v="243"/>
    <x v="87"/>
    <x v="0"/>
    <x v="326"/>
    <x v="345"/>
    <x v="0"/>
  </r>
  <r>
    <x v="2"/>
    <x v="22"/>
    <x v="21"/>
    <x v="2"/>
    <x v="12"/>
    <x v="355"/>
    <x v="101"/>
    <x v="98"/>
    <x v="34"/>
    <x v="155"/>
    <x v="0"/>
    <x v="327"/>
    <x v="99"/>
    <x v="0"/>
  </r>
  <r>
    <x v="3"/>
    <x v="22"/>
    <x v="21"/>
    <x v="2"/>
    <x v="12"/>
    <x v="356"/>
    <x v="89"/>
    <x v="99"/>
    <x v="48"/>
    <x v="295"/>
    <x v="0"/>
    <x v="328"/>
    <x v="346"/>
    <x v="0"/>
  </r>
  <r>
    <x v="4"/>
    <x v="22"/>
    <x v="21"/>
    <x v="2"/>
    <x v="12"/>
    <x v="262"/>
    <x v="218"/>
    <x v="153"/>
    <x v="48"/>
    <x v="295"/>
    <x v="0"/>
    <x v="242"/>
    <x v="347"/>
    <x v="0"/>
  </r>
  <r>
    <x v="5"/>
    <x v="22"/>
    <x v="21"/>
    <x v="2"/>
    <x v="12"/>
    <x v="357"/>
    <x v="236"/>
    <x v="297"/>
    <x v="126"/>
    <x v="142"/>
    <x v="0"/>
    <x v="329"/>
    <x v="348"/>
    <x v="0"/>
  </r>
  <r>
    <x v="6"/>
    <x v="22"/>
    <x v="21"/>
    <x v="2"/>
    <x v="12"/>
    <x v="358"/>
    <x v="237"/>
    <x v="286"/>
    <x v="62"/>
    <x v="99"/>
    <x v="0"/>
    <x v="330"/>
    <x v="349"/>
    <x v="0"/>
  </r>
  <r>
    <x v="7"/>
    <x v="22"/>
    <x v="21"/>
    <x v="2"/>
    <x v="12"/>
    <x v="20"/>
    <x v="237"/>
    <x v="298"/>
    <x v="244"/>
    <x v="90"/>
    <x v="0"/>
    <x v="331"/>
    <x v="108"/>
    <x v="0"/>
  </r>
  <r>
    <x v="8"/>
    <x v="22"/>
    <x v="21"/>
    <x v="2"/>
    <x v="12"/>
    <x v="359"/>
    <x v="168"/>
    <x v="299"/>
    <x v="129"/>
    <x v="144"/>
    <x v="0"/>
    <x v="314"/>
    <x v="331"/>
    <x v="0"/>
  </r>
  <r>
    <x v="9"/>
    <x v="22"/>
    <x v="21"/>
    <x v="2"/>
    <x v="12"/>
    <x v="360"/>
    <x v="162"/>
    <x v="284"/>
    <x v="128"/>
    <x v="102"/>
    <x v="0"/>
    <x v="332"/>
    <x v="350"/>
    <x v="0"/>
  </r>
  <r>
    <x v="10"/>
    <x v="22"/>
    <x v="21"/>
    <x v="2"/>
    <x v="12"/>
    <x v="361"/>
    <x v="102"/>
    <x v="140"/>
    <x v="204"/>
    <x v="98"/>
    <x v="0"/>
    <x v="333"/>
    <x v="99"/>
    <x v="0"/>
  </r>
  <r>
    <x v="11"/>
    <x v="22"/>
    <x v="21"/>
    <x v="2"/>
    <x v="12"/>
    <x v="362"/>
    <x v="120"/>
    <x v="40"/>
    <x v="66"/>
    <x v="160"/>
    <x v="0"/>
    <x v="106"/>
    <x v="351"/>
    <x v="0"/>
  </r>
  <r>
    <x v="12"/>
    <x v="22"/>
    <x v="21"/>
    <x v="2"/>
    <x v="12"/>
    <x v="363"/>
    <x v="120"/>
    <x v="300"/>
    <x v="185"/>
    <x v="65"/>
    <x v="0"/>
    <x v="312"/>
    <x v="352"/>
    <x v="0"/>
  </r>
  <r>
    <x v="13"/>
    <x v="22"/>
    <x v="21"/>
    <x v="2"/>
    <x v="12"/>
    <x v="364"/>
    <x v="83"/>
    <x v="301"/>
    <x v="185"/>
    <x v="66"/>
    <x v="0"/>
    <x v="288"/>
    <x v="99"/>
    <x v="0"/>
  </r>
  <r>
    <x v="14"/>
    <x v="22"/>
    <x v="21"/>
    <x v="2"/>
    <x v="12"/>
    <x v="61"/>
    <x v="129"/>
    <x v="19"/>
    <x v="64"/>
    <x v="238"/>
    <x v="0"/>
    <x v="334"/>
    <x v="353"/>
    <x v="0"/>
  </r>
  <r>
    <x v="15"/>
    <x v="22"/>
    <x v="21"/>
    <x v="2"/>
    <x v="12"/>
    <x v="365"/>
    <x v="203"/>
    <x v="52"/>
    <x v="25"/>
    <x v="265"/>
    <x v="1"/>
    <x v="335"/>
    <x v="354"/>
    <x v="0"/>
  </r>
  <r>
    <x v="16"/>
    <x v="22"/>
    <x v="21"/>
    <x v="2"/>
    <x v="12"/>
    <x v="366"/>
    <x v="108"/>
    <x v="41"/>
    <x v="228"/>
    <x v="296"/>
    <x v="1"/>
    <x v="336"/>
    <x v="355"/>
    <x v="0"/>
  </r>
  <r>
    <x v="0"/>
    <x v="23"/>
    <x v="22"/>
    <x v="6"/>
    <x v="13"/>
    <x v="367"/>
    <x v="238"/>
    <x v="47"/>
    <x v="171"/>
    <x v="100"/>
    <x v="0"/>
    <x v="337"/>
    <x v="356"/>
    <x v="2"/>
  </r>
  <r>
    <x v="1"/>
    <x v="23"/>
    <x v="22"/>
    <x v="6"/>
    <x v="13"/>
    <x v="368"/>
    <x v="37"/>
    <x v="302"/>
    <x v="83"/>
    <x v="127"/>
    <x v="0"/>
    <x v="338"/>
    <x v="357"/>
    <x v="2"/>
  </r>
  <r>
    <x v="2"/>
    <x v="23"/>
    <x v="22"/>
    <x v="6"/>
    <x v="13"/>
    <x v="369"/>
    <x v="235"/>
    <x v="303"/>
    <x v="140"/>
    <x v="100"/>
    <x v="0"/>
    <x v="339"/>
    <x v="358"/>
    <x v="2"/>
  </r>
  <r>
    <x v="3"/>
    <x v="23"/>
    <x v="22"/>
    <x v="6"/>
    <x v="13"/>
    <x v="370"/>
    <x v="239"/>
    <x v="304"/>
    <x v="219"/>
    <x v="127"/>
    <x v="0"/>
    <x v="340"/>
    <x v="359"/>
    <x v="2"/>
  </r>
  <r>
    <x v="4"/>
    <x v="23"/>
    <x v="22"/>
    <x v="6"/>
    <x v="13"/>
    <x v="371"/>
    <x v="105"/>
    <x v="305"/>
    <x v="0"/>
    <x v="100"/>
    <x v="0"/>
    <x v="341"/>
    <x v="360"/>
    <x v="2"/>
  </r>
  <r>
    <x v="5"/>
    <x v="23"/>
    <x v="22"/>
    <x v="6"/>
    <x v="13"/>
    <x v="372"/>
    <x v="240"/>
    <x v="185"/>
    <x v="207"/>
    <x v="89"/>
    <x v="0"/>
    <x v="342"/>
    <x v="361"/>
    <x v="2"/>
  </r>
  <r>
    <x v="6"/>
    <x v="23"/>
    <x v="22"/>
    <x v="6"/>
    <x v="13"/>
    <x v="373"/>
    <x v="241"/>
    <x v="306"/>
    <x v="1"/>
    <x v="101"/>
    <x v="0"/>
    <x v="343"/>
    <x v="362"/>
    <x v="2"/>
  </r>
  <r>
    <x v="7"/>
    <x v="23"/>
    <x v="22"/>
    <x v="6"/>
    <x v="13"/>
    <x v="115"/>
    <x v="242"/>
    <x v="307"/>
    <x v="245"/>
    <x v="145"/>
    <x v="0"/>
    <x v="344"/>
    <x v="363"/>
    <x v="2"/>
  </r>
  <r>
    <x v="8"/>
    <x v="23"/>
    <x v="22"/>
    <x v="6"/>
    <x v="13"/>
    <x v="374"/>
    <x v="243"/>
    <x v="308"/>
    <x v="198"/>
    <x v="146"/>
    <x v="0"/>
    <x v="345"/>
    <x v="364"/>
    <x v="2"/>
  </r>
  <r>
    <x v="9"/>
    <x v="23"/>
    <x v="22"/>
    <x v="6"/>
    <x v="13"/>
    <x v="375"/>
    <x v="244"/>
    <x v="309"/>
    <x v="5"/>
    <x v="64"/>
    <x v="0"/>
    <x v="346"/>
    <x v="365"/>
    <x v="2"/>
  </r>
  <r>
    <x v="10"/>
    <x v="23"/>
    <x v="22"/>
    <x v="6"/>
    <x v="13"/>
    <x v="376"/>
    <x v="2"/>
    <x v="310"/>
    <x v="246"/>
    <x v="68"/>
    <x v="0"/>
    <x v="347"/>
    <x v="366"/>
    <x v="2"/>
  </r>
  <r>
    <x v="11"/>
    <x v="23"/>
    <x v="22"/>
    <x v="6"/>
    <x v="13"/>
    <x v="377"/>
    <x v="245"/>
    <x v="311"/>
    <x v="247"/>
    <x v="297"/>
    <x v="0"/>
    <x v="347"/>
    <x v="367"/>
    <x v="2"/>
  </r>
  <r>
    <x v="12"/>
    <x v="23"/>
    <x v="22"/>
    <x v="6"/>
    <x v="13"/>
    <x v="378"/>
    <x v="119"/>
    <x v="183"/>
    <x v="248"/>
    <x v="298"/>
    <x v="0"/>
    <x v="348"/>
    <x v="368"/>
    <x v="2"/>
  </r>
  <r>
    <x v="13"/>
    <x v="23"/>
    <x v="22"/>
    <x v="6"/>
    <x v="13"/>
    <x v="379"/>
    <x v="37"/>
    <x v="312"/>
    <x v="249"/>
    <x v="299"/>
    <x v="0"/>
    <x v="349"/>
    <x v="369"/>
    <x v="2"/>
  </r>
  <r>
    <x v="14"/>
    <x v="23"/>
    <x v="22"/>
    <x v="6"/>
    <x v="13"/>
    <x v="380"/>
    <x v="169"/>
    <x v="313"/>
    <x v="250"/>
    <x v="300"/>
    <x v="0"/>
    <x v="350"/>
    <x v="370"/>
    <x v="2"/>
  </r>
  <r>
    <x v="15"/>
    <x v="23"/>
    <x v="22"/>
    <x v="6"/>
    <x v="13"/>
    <x v="381"/>
    <x v="246"/>
    <x v="314"/>
    <x v="251"/>
    <x v="301"/>
    <x v="1"/>
    <x v="351"/>
    <x v="371"/>
    <x v="2"/>
  </r>
  <r>
    <x v="16"/>
    <x v="23"/>
    <x v="22"/>
    <x v="6"/>
    <x v="13"/>
    <x v="382"/>
    <x v="49"/>
    <x v="315"/>
    <x v="252"/>
    <x v="302"/>
    <x v="1"/>
    <x v="352"/>
    <x v="372"/>
    <x v="2"/>
  </r>
  <r>
    <x v="0"/>
    <x v="24"/>
    <x v="23"/>
    <x v="2"/>
    <x v="14"/>
    <x v="383"/>
    <x v="247"/>
    <x v="316"/>
    <x v="87"/>
    <x v="253"/>
    <x v="0"/>
    <x v="353"/>
    <x v="373"/>
    <x v="2"/>
  </r>
  <r>
    <x v="1"/>
    <x v="24"/>
    <x v="23"/>
    <x v="2"/>
    <x v="14"/>
    <x v="384"/>
    <x v="248"/>
    <x v="144"/>
    <x v="68"/>
    <x v="303"/>
    <x v="0"/>
    <x v="354"/>
    <x v="374"/>
    <x v="2"/>
  </r>
  <r>
    <x v="2"/>
    <x v="24"/>
    <x v="23"/>
    <x v="2"/>
    <x v="14"/>
    <x v="385"/>
    <x v="249"/>
    <x v="274"/>
    <x v="220"/>
    <x v="258"/>
    <x v="0"/>
    <x v="355"/>
    <x v="375"/>
    <x v="2"/>
  </r>
  <r>
    <x v="3"/>
    <x v="24"/>
    <x v="23"/>
    <x v="2"/>
    <x v="14"/>
    <x v="386"/>
    <x v="250"/>
    <x v="291"/>
    <x v="210"/>
    <x v="67"/>
    <x v="0"/>
    <x v="356"/>
    <x v="376"/>
    <x v="2"/>
  </r>
  <r>
    <x v="4"/>
    <x v="24"/>
    <x v="23"/>
    <x v="2"/>
    <x v="14"/>
    <x v="387"/>
    <x v="251"/>
    <x v="74"/>
    <x v="0"/>
    <x v="268"/>
    <x v="0"/>
    <x v="357"/>
    <x v="377"/>
    <x v="2"/>
  </r>
  <r>
    <x v="5"/>
    <x v="24"/>
    <x v="23"/>
    <x v="2"/>
    <x v="14"/>
    <x v="291"/>
    <x v="252"/>
    <x v="317"/>
    <x v="87"/>
    <x v="253"/>
    <x v="0"/>
    <x v="269"/>
    <x v="285"/>
    <x v="2"/>
  </r>
  <r>
    <x v="6"/>
    <x v="24"/>
    <x v="23"/>
    <x v="2"/>
    <x v="14"/>
    <x v="388"/>
    <x v="253"/>
    <x v="49"/>
    <x v="253"/>
    <x v="273"/>
    <x v="0"/>
    <x v="358"/>
    <x v="378"/>
    <x v="2"/>
  </r>
  <r>
    <x v="7"/>
    <x v="24"/>
    <x v="23"/>
    <x v="2"/>
    <x v="14"/>
    <x v="389"/>
    <x v="254"/>
    <x v="85"/>
    <x v="254"/>
    <x v="304"/>
    <x v="0"/>
    <x v="359"/>
    <x v="379"/>
    <x v="2"/>
  </r>
  <r>
    <x v="8"/>
    <x v="24"/>
    <x v="23"/>
    <x v="2"/>
    <x v="14"/>
    <x v="390"/>
    <x v="97"/>
    <x v="318"/>
    <x v="255"/>
    <x v="274"/>
    <x v="0"/>
    <x v="360"/>
    <x v="380"/>
    <x v="2"/>
  </r>
  <r>
    <x v="9"/>
    <x v="24"/>
    <x v="23"/>
    <x v="2"/>
    <x v="14"/>
    <x v="391"/>
    <x v="255"/>
    <x v="319"/>
    <x v="256"/>
    <x v="18"/>
    <x v="0"/>
    <x v="361"/>
    <x v="381"/>
    <x v="2"/>
  </r>
  <r>
    <x v="10"/>
    <x v="24"/>
    <x v="23"/>
    <x v="2"/>
    <x v="14"/>
    <x v="392"/>
    <x v="249"/>
    <x v="310"/>
    <x v="134"/>
    <x v="152"/>
    <x v="0"/>
    <x v="362"/>
    <x v="382"/>
    <x v="2"/>
  </r>
  <r>
    <x v="11"/>
    <x v="24"/>
    <x v="23"/>
    <x v="2"/>
    <x v="14"/>
    <x v="393"/>
    <x v="115"/>
    <x v="320"/>
    <x v="257"/>
    <x v="305"/>
    <x v="0"/>
    <x v="363"/>
    <x v="383"/>
    <x v="2"/>
  </r>
  <r>
    <x v="12"/>
    <x v="24"/>
    <x v="23"/>
    <x v="2"/>
    <x v="14"/>
    <x v="394"/>
    <x v="251"/>
    <x v="321"/>
    <x v="258"/>
    <x v="115"/>
    <x v="0"/>
    <x v="304"/>
    <x v="384"/>
    <x v="2"/>
  </r>
  <r>
    <x v="13"/>
    <x v="24"/>
    <x v="23"/>
    <x v="2"/>
    <x v="14"/>
    <x v="395"/>
    <x v="90"/>
    <x v="322"/>
    <x v="259"/>
    <x v="306"/>
    <x v="0"/>
    <x v="364"/>
    <x v="153"/>
    <x v="2"/>
  </r>
  <r>
    <x v="14"/>
    <x v="24"/>
    <x v="23"/>
    <x v="2"/>
    <x v="14"/>
    <x v="5"/>
    <x v="101"/>
    <x v="323"/>
    <x v="258"/>
    <x v="115"/>
    <x v="0"/>
    <x v="365"/>
    <x v="385"/>
    <x v="2"/>
  </r>
  <r>
    <x v="15"/>
    <x v="24"/>
    <x v="23"/>
    <x v="2"/>
    <x v="14"/>
    <x v="396"/>
    <x v="256"/>
    <x v="324"/>
    <x v="260"/>
    <x v="307"/>
    <x v="1"/>
    <x v="366"/>
    <x v="386"/>
    <x v="2"/>
  </r>
  <r>
    <x v="16"/>
    <x v="24"/>
    <x v="23"/>
    <x v="2"/>
    <x v="14"/>
    <x v="397"/>
    <x v="257"/>
    <x v="325"/>
    <x v="261"/>
    <x v="308"/>
    <x v="1"/>
    <x v="367"/>
    <x v="387"/>
    <x v="2"/>
  </r>
  <r>
    <x v="0"/>
    <x v="25"/>
    <x v="24"/>
    <x v="2"/>
    <x v="15"/>
    <x v="398"/>
    <x v="258"/>
    <x v="326"/>
    <x v="60"/>
    <x v="156"/>
    <x v="0"/>
    <x v="368"/>
    <x v="388"/>
    <x v="2"/>
  </r>
  <r>
    <x v="1"/>
    <x v="25"/>
    <x v="24"/>
    <x v="2"/>
    <x v="15"/>
    <x v="73"/>
    <x v="251"/>
    <x v="257"/>
    <x v="49"/>
    <x v="295"/>
    <x v="0"/>
    <x v="369"/>
    <x v="389"/>
    <x v="2"/>
  </r>
  <r>
    <x v="2"/>
    <x v="25"/>
    <x v="24"/>
    <x v="2"/>
    <x v="15"/>
    <x v="399"/>
    <x v="102"/>
    <x v="327"/>
    <x v="21"/>
    <x v="309"/>
    <x v="0"/>
    <x v="370"/>
    <x v="390"/>
    <x v="2"/>
  </r>
  <r>
    <x v="3"/>
    <x v="25"/>
    <x v="24"/>
    <x v="2"/>
    <x v="15"/>
    <x v="400"/>
    <x v="119"/>
    <x v="17"/>
    <x v="127"/>
    <x v="89"/>
    <x v="0"/>
    <x v="371"/>
    <x v="391"/>
    <x v="2"/>
  </r>
  <r>
    <x v="4"/>
    <x v="25"/>
    <x v="24"/>
    <x v="2"/>
    <x v="15"/>
    <x v="401"/>
    <x v="259"/>
    <x v="256"/>
    <x v="62"/>
    <x v="99"/>
    <x v="0"/>
    <x v="291"/>
    <x v="392"/>
    <x v="2"/>
  </r>
  <r>
    <x v="5"/>
    <x v="25"/>
    <x v="24"/>
    <x v="2"/>
    <x v="15"/>
    <x v="402"/>
    <x v="133"/>
    <x v="280"/>
    <x v="50"/>
    <x v="98"/>
    <x v="0"/>
    <x v="372"/>
    <x v="393"/>
    <x v="2"/>
  </r>
  <r>
    <x v="6"/>
    <x v="25"/>
    <x v="24"/>
    <x v="2"/>
    <x v="15"/>
    <x v="403"/>
    <x v="260"/>
    <x v="328"/>
    <x v="262"/>
    <x v="160"/>
    <x v="0"/>
    <x v="373"/>
    <x v="379"/>
    <x v="2"/>
  </r>
  <r>
    <x v="7"/>
    <x v="25"/>
    <x v="24"/>
    <x v="2"/>
    <x v="15"/>
    <x v="316"/>
    <x v="261"/>
    <x v="329"/>
    <x v="228"/>
    <x v="296"/>
    <x v="0"/>
    <x v="291"/>
    <x v="392"/>
    <x v="2"/>
  </r>
  <r>
    <x v="8"/>
    <x v="25"/>
    <x v="24"/>
    <x v="2"/>
    <x v="15"/>
    <x v="404"/>
    <x v="172"/>
    <x v="330"/>
    <x v="97"/>
    <x v="111"/>
    <x v="0"/>
    <x v="374"/>
    <x v="394"/>
    <x v="2"/>
  </r>
  <r>
    <x v="9"/>
    <x v="25"/>
    <x v="24"/>
    <x v="2"/>
    <x v="15"/>
    <x v="405"/>
    <x v="262"/>
    <x v="146"/>
    <x v="236"/>
    <x v="148"/>
    <x v="0"/>
    <x v="375"/>
    <x v="395"/>
    <x v="2"/>
  </r>
  <r>
    <x v="10"/>
    <x v="25"/>
    <x v="24"/>
    <x v="2"/>
    <x v="15"/>
    <x v="300"/>
    <x v="95"/>
    <x v="250"/>
    <x v="221"/>
    <x v="259"/>
    <x v="0"/>
    <x v="277"/>
    <x v="293"/>
    <x v="2"/>
  </r>
  <r>
    <x v="11"/>
    <x v="25"/>
    <x v="24"/>
    <x v="2"/>
    <x v="15"/>
    <x v="406"/>
    <x v="111"/>
    <x v="331"/>
    <x v="263"/>
    <x v="310"/>
    <x v="0"/>
    <x v="376"/>
    <x v="99"/>
    <x v="2"/>
  </r>
  <r>
    <x v="12"/>
    <x v="25"/>
    <x v="24"/>
    <x v="2"/>
    <x v="15"/>
    <x v="407"/>
    <x v="216"/>
    <x v="332"/>
    <x v="116"/>
    <x v="132"/>
    <x v="0"/>
    <x v="104"/>
    <x v="396"/>
    <x v="2"/>
  </r>
  <r>
    <x v="13"/>
    <x v="25"/>
    <x v="24"/>
    <x v="2"/>
    <x v="15"/>
    <x v="408"/>
    <x v="263"/>
    <x v="333"/>
    <x v="214"/>
    <x v="229"/>
    <x v="0"/>
    <x v="377"/>
    <x v="397"/>
    <x v="2"/>
  </r>
  <r>
    <x v="14"/>
    <x v="25"/>
    <x v="24"/>
    <x v="2"/>
    <x v="15"/>
    <x v="409"/>
    <x v="262"/>
    <x v="334"/>
    <x v="264"/>
    <x v="311"/>
    <x v="0"/>
    <x v="378"/>
    <x v="398"/>
    <x v="2"/>
  </r>
  <r>
    <x v="15"/>
    <x v="25"/>
    <x v="24"/>
    <x v="2"/>
    <x v="15"/>
    <x v="410"/>
    <x v="170"/>
    <x v="335"/>
    <x v="265"/>
    <x v="277"/>
    <x v="1"/>
    <x v="379"/>
    <x v="399"/>
    <x v="2"/>
  </r>
  <r>
    <x v="16"/>
    <x v="25"/>
    <x v="24"/>
    <x v="2"/>
    <x v="15"/>
    <x v="411"/>
    <x v="93"/>
    <x v="336"/>
    <x v="266"/>
    <x v="276"/>
    <x v="1"/>
    <x v="380"/>
    <x v="400"/>
    <x v="2"/>
  </r>
  <r>
    <x v="0"/>
    <x v="26"/>
    <x v="25"/>
    <x v="2"/>
    <x v="16"/>
    <x v="412"/>
    <x v="159"/>
    <x v="337"/>
    <x v="58"/>
    <x v="312"/>
    <x v="0"/>
    <x v="381"/>
    <x v="401"/>
    <x v="2"/>
  </r>
  <r>
    <x v="1"/>
    <x v="26"/>
    <x v="25"/>
    <x v="2"/>
    <x v="16"/>
    <x v="413"/>
    <x v="264"/>
    <x v="156"/>
    <x v="267"/>
    <x v="288"/>
    <x v="0"/>
    <x v="143"/>
    <x v="402"/>
    <x v="2"/>
  </r>
  <r>
    <x v="2"/>
    <x v="26"/>
    <x v="25"/>
    <x v="2"/>
    <x v="16"/>
    <x v="414"/>
    <x v="265"/>
    <x v="337"/>
    <x v="17"/>
    <x v="86"/>
    <x v="0"/>
    <x v="382"/>
    <x v="403"/>
    <x v="2"/>
  </r>
  <r>
    <x v="3"/>
    <x v="26"/>
    <x v="25"/>
    <x v="2"/>
    <x v="16"/>
    <x v="415"/>
    <x v="245"/>
    <x v="154"/>
    <x v="268"/>
    <x v="294"/>
    <x v="0"/>
    <x v="292"/>
    <x v="404"/>
    <x v="2"/>
  </r>
  <r>
    <x v="4"/>
    <x v="26"/>
    <x v="25"/>
    <x v="2"/>
    <x v="16"/>
    <x v="398"/>
    <x v="44"/>
    <x v="338"/>
    <x v="60"/>
    <x v="156"/>
    <x v="0"/>
    <x v="368"/>
    <x v="388"/>
    <x v="2"/>
  </r>
  <r>
    <x v="5"/>
    <x v="26"/>
    <x v="25"/>
    <x v="2"/>
    <x v="16"/>
    <x v="416"/>
    <x v="266"/>
    <x v="286"/>
    <x v="137"/>
    <x v="289"/>
    <x v="0"/>
    <x v="383"/>
    <x v="405"/>
    <x v="2"/>
  </r>
  <r>
    <x v="6"/>
    <x v="26"/>
    <x v="25"/>
    <x v="2"/>
    <x v="16"/>
    <x v="417"/>
    <x v="4"/>
    <x v="299"/>
    <x v="48"/>
    <x v="313"/>
    <x v="0"/>
    <x v="384"/>
    <x v="406"/>
    <x v="2"/>
  </r>
  <r>
    <x v="7"/>
    <x v="26"/>
    <x v="25"/>
    <x v="2"/>
    <x v="16"/>
    <x v="418"/>
    <x v="267"/>
    <x v="339"/>
    <x v="38"/>
    <x v="309"/>
    <x v="0"/>
    <x v="385"/>
    <x v="407"/>
    <x v="2"/>
  </r>
  <r>
    <x v="8"/>
    <x v="26"/>
    <x v="25"/>
    <x v="2"/>
    <x v="16"/>
    <x v="346"/>
    <x v="268"/>
    <x v="201"/>
    <x v="241"/>
    <x v="100"/>
    <x v="0"/>
    <x v="320"/>
    <x v="408"/>
    <x v="2"/>
  </r>
  <r>
    <x v="9"/>
    <x v="26"/>
    <x v="25"/>
    <x v="2"/>
    <x v="16"/>
    <x v="419"/>
    <x v="201"/>
    <x v="328"/>
    <x v="46"/>
    <x v="101"/>
    <x v="0"/>
    <x v="386"/>
    <x v="409"/>
    <x v="2"/>
  </r>
  <r>
    <x v="10"/>
    <x v="26"/>
    <x v="25"/>
    <x v="2"/>
    <x v="16"/>
    <x v="21"/>
    <x v="269"/>
    <x v="45"/>
    <x v="23"/>
    <x v="314"/>
    <x v="0"/>
    <x v="387"/>
    <x v="399"/>
    <x v="2"/>
  </r>
  <r>
    <x v="11"/>
    <x v="26"/>
    <x v="25"/>
    <x v="2"/>
    <x v="16"/>
    <x v="420"/>
    <x v="240"/>
    <x v="281"/>
    <x v="269"/>
    <x v="146"/>
    <x v="0"/>
    <x v="388"/>
    <x v="410"/>
    <x v="2"/>
  </r>
  <r>
    <x v="12"/>
    <x v="26"/>
    <x v="25"/>
    <x v="2"/>
    <x v="16"/>
    <x v="325"/>
    <x v="270"/>
    <x v="262"/>
    <x v="233"/>
    <x v="254"/>
    <x v="0"/>
    <x v="301"/>
    <x v="411"/>
    <x v="2"/>
  </r>
  <r>
    <x v="13"/>
    <x v="26"/>
    <x v="25"/>
    <x v="2"/>
    <x v="16"/>
    <x v="421"/>
    <x v="57"/>
    <x v="77"/>
    <x v="270"/>
    <x v="315"/>
    <x v="0"/>
    <x v="389"/>
    <x v="412"/>
    <x v="2"/>
  </r>
  <r>
    <x v="14"/>
    <x v="26"/>
    <x v="25"/>
    <x v="2"/>
    <x v="16"/>
    <x v="422"/>
    <x v="23"/>
    <x v="271"/>
    <x v="271"/>
    <x v="316"/>
    <x v="0"/>
    <x v="288"/>
    <x v="413"/>
    <x v="2"/>
  </r>
  <r>
    <x v="15"/>
    <x v="26"/>
    <x v="25"/>
    <x v="2"/>
    <x v="16"/>
    <x v="423"/>
    <x v="271"/>
    <x v="333"/>
    <x v="206"/>
    <x v="317"/>
    <x v="1"/>
    <x v="390"/>
    <x v="414"/>
    <x v="2"/>
  </r>
  <r>
    <x v="16"/>
    <x v="26"/>
    <x v="25"/>
    <x v="2"/>
    <x v="16"/>
    <x v="424"/>
    <x v="18"/>
    <x v="340"/>
    <x v="32"/>
    <x v="248"/>
    <x v="1"/>
    <x v="391"/>
    <x v="415"/>
    <x v="2"/>
  </r>
  <r>
    <x v="0"/>
    <x v="27"/>
    <x v="26"/>
    <x v="7"/>
    <x v="14"/>
    <x v="425"/>
    <x v="213"/>
    <x v="341"/>
    <x v="24"/>
    <x v="238"/>
    <x v="0"/>
    <x v="392"/>
    <x v="416"/>
    <x v="2"/>
  </r>
  <r>
    <x v="1"/>
    <x v="27"/>
    <x v="26"/>
    <x v="7"/>
    <x v="14"/>
    <x v="426"/>
    <x v="132"/>
    <x v="342"/>
    <x v="51"/>
    <x v="318"/>
    <x v="0"/>
    <x v="393"/>
    <x v="417"/>
    <x v="2"/>
  </r>
  <r>
    <x v="2"/>
    <x v="27"/>
    <x v="26"/>
    <x v="7"/>
    <x v="14"/>
    <x v="427"/>
    <x v="100"/>
    <x v="164"/>
    <x v="209"/>
    <x v="95"/>
    <x v="0"/>
    <x v="249"/>
    <x v="99"/>
    <x v="2"/>
  </r>
  <r>
    <x v="3"/>
    <x v="27"/>
    <x v="26"/>
    <x v="7"/>
    <x v="14"/>
    <x v="428"/>
    <x v="272"/>
    <x v="44"/>
    <x v="205"/>
    <x v="159"/>
    <x v="0"/>
    <x v="394"/>
    <x v="418"/>
    <x v="2"/>
  </r>
  <r>
    <x v="4"/>
    <x v="27"/>
    <x v="26"/>
    <x v="7"/>
    <x v="14"/>
    <x v="429"/>
    <x v="105"/>
    <x v="164"/>
    <x v="63"/>
    <x v="129"/>
    <x v="0"/>
    <x v="395"/>
    <x v="419"/>
    <x v="2"/>
  </r>
  <r>
    <x v="5"/>
    <x v="27"/>
    <x v="26"/>
    <x v="7"/>
    <x v="14"/>
    <x v="430"/>
    <x v="111"/>
    <x v="343"/>
    <x v="244"/>
    <x v="292"/>
    <x v="0"/>
    <x v="396"/>
    <x v="420"/>
    <x v="2"/>
  </r>
  <r>
    <x v="6"/>
    <x v="27"/>
    <x v="26"/>
    <x v="7"/>
    <x v="14"/>
    <x v="431"/>
    <x v="119"/>
    <x v="344"/>
    <x v="131"/>
    <x v="63"/>
    <x v="0"/>
    <x v="385"/>
    <x v="99"/>
    <x v="2"/>
  </r>
  <r>
    <x v="7"/>
    <x v="27"/>
    <x v="26"/>
    <x v="7"/>
    <x v="14"/>
    <x v="432"/>
    <x v="265"/>
    <x v="345"/>
    <x v="27"/>
    <x v="303"/>
    <x v="0"/>
    <x v="397"/>
    <x v="421"/>
    <x v="2"/>
  </r>
  <r>
    <x v="8"/>
    <x v="27"/>
    <x v="26"/>
    <x v="7"/>
    <x v="14"/>
    <x v="433"/>
    <x v="128"/>
    <x v="346"/>
    <x v="232"/>
    <x v="241"/>
    <x v="0"/>
    <x v="398"/>
    <x v="422"/>
    <x v="2"/>
  </r>
  <r>
    <x v="9"/>
    <x v="27"/>
    <x v="26"/>
    <x v="7"/>
    <x v="14"/>
    <x v="434"/>
    <x v="90"/>
    <x v="347"/>
    <x v="70"/>
    <x v="280"/>
    <x v="0"/>
    <x v="399"/>
    <x v="423"/>
    <x v="2"/>
  </r>
  <r>
    <x v="10"/>
    <x v="27"/>
    <x v="26"/>
    <x v="7"/>
    <x v="14"/>
    <x v="324"/>
    <x v="256"/>
    <x v="348"/>
    <x v="232"/>
    <x v="241"/>
    <x v="0"/>
    <x v="300"/>
    <x v="424"/>
    <x v="2"/>
  </r>
  <r>
    <x v="11"/>
    <x v="27"/>
    <x v="26"/>
    <x v="7"/>
    <x v="14"/>
    <x v="435"/>
    <x v="273"/>
    <x v="349"/>
    <x v="195"/>
    <x v="17"/>
    <x v="0"/>
    <x v="400"/>
    <x v="425"/>
    <x v="2"/>
  </r>
  <r>
    <x v="12"/>
    <x v="27"/>
    <x v="26"/>
    <x v="7"/>
    <x v="14"/>
    <x v="436"/>
    <x v="274"/>
    <x v="252"/>
    <x v="256"/>
    <x v="35"/>
    <x v="0"/>
    <x v="401"/>
    <x v="426"/>
    <x v="2"/>
  </r>
  <r>
    <x v="13"/>
    <x v="27"/>
    <x v="26"/>
    <x v="7"/>
    <x v="14"/>
    <x v="437"/>
    <x v="97"/>
    <x v="77"/>
    <x v="272"/>
    <x v="71"/>
    <x v="0"/>
    <x v="273"/>
    <x v="427"/>
    <x v="2"/>
  </r>
  <r>
    <x v="14"/>
    <x v="27"/>
    <x v="26"/>
    <x v="7"/>
    <x v="14"/>
    <x v="438"/>
    <x v="181"/>
    <x v="82"/>
    <x v="89"/>
    <x v="248"/>
    <x v="0"/>
    <x v="307"/>
    <x v="428"/>
    <x v="2"/>
  </r>
  <r>
    <x v="15"/>
    <x v="27"/>
    <x v="26"/>
    <x v="7"/>
    <x v="14"/>
    <x v="322"/>
    <x v="84"/>
    <x v="350"/>
    <x v="213"/>
    <x v="112"/>
    <x v="1"/>
    <x v="298"/>
    <x v="429"/>
    <x v="2"/>
  </r>
  <r>
    <x v="16"/>
    <x v="27"/>
    <x v="26"/>
    <x v="7"/>
    <x v="14"/>
    <x v="439"/>
    <x v="109"/>
    <x v="351"/>
    <x v="256"/>
    <x v="18"/>
    <x v="1"/>
    <x v="402"/>
    <x v="430"/>
    <x v="2"/>
  </r>
  <r>
    <x v="0"/>
    <x v="28"/>
    <x v="27"/>
    <x v="7"/>
    <x v="17"/>
    <x v="66"/>
    <x v="175"/>
    <x v="352"/>
    <x v="273"/>
    <x v="286"/>
    <x v="0"/>
    <x v="290"/>
    <x v="431"/>
    <x v="2"/>
  </r>
  <r>
    <x v="1"/>
    <x v="28"/>
    <x v="27"/>
    <x v="7"/>
    <x v="17"/>
    <x v="67"/>
    <x v="216"/>
    <x v="353"/>
    <x v="273"/>
    <x v="287"/>
    <x v="0"/>
    <x v="403"/>
    <x v="432"/>
    <x v="2"/>
  </r>
  <r>
    <x v="2"/>
    <x v="28"/>
    <x v="27"/>
    <x v="7"/>
    <x v="17"/>
    <x v="440"/>
    <x v="106"/>
    <x v="354"/>
    <x v="17"/>
    <x v="86"/>
    <x v="0"/>
    <x v="404"/>
    <x v="433"/>
    <x v="2"/>
  </r>
  <r>
    <x v="3"/>
    <x v="28"/>
    <x v="27"/>
    <x v="7"/>
    <x v="17"/>
    <x v="441"/>
    <x v="181"/>
    <x v="353"/>
    <x v="267"/>
    <x v="288"/>
    <x v="0"/>
    <x v="150"/>
    <x v="99"/>
    <x v="2"/>
  </r>
  <r>
    <x v="4"/>
    <x v="28"/>
    <x v="27"/>
    <x v="7"/>
    <x v="17"/>
    <x v="442"/>
    <x v="147"/>
    <x v="355"/>
    <x v="268"/>
    <x v="294"/>
    <x v="0"/>
    <x v="405"/>
    <x v="434"/>
    <x v="2"/>
  </r>
  <r>
    <x v="5"/>
    <x v="28"/>
    <x v="27"/>
    <x v="7"/>
    <x v="17"/>
    <x v="443"/>
    <x v="275"/>
    <x v="356"/>
    <x v="242"/>
    <x v="319"/>
    <x v="0"/>
    <x v="330"/>
    <x v="435"/>
    <x v="2"/>
  </r>
  <r>
    <x v="6"/>
    <x v="28"/>
    <x v="27"/>
    <x v="7"/>
    <x v="17"/>
    <x v="444"/>
    <x v="276"/>
    <x v="357"/>
    <x v="243"/>
    <x v="87"/>
    <x v="0"/>
    <x v="104"/>
    <x v="99"/>
    <x v="2"/>
  </r>
  <r>
    <x v="7"/>
    <x v="28"/>
    <x v="27"/>
    <x v="7"/>
    <x v="17"/>
    <x v="71"/>
    <x v="277"/>
    <x v="358"/>
    <x v="34"/>
    <x v="155"/>
    <x v="0"/>
    <x v="140"/>
    <x v="97"/>
    <x v="2"/>
  </r>
  <r>
    <x v="8"/>
    <x v="28"/>
    <x v="27"/>
    <x v="7"/>
    <x v="17"/>
    <x v="445"/>
    <x v="214"/>
    <x v="359"/>
    <x v="47"/>
    <x v="126"/>
    <x v="0"/>
    <x v="314"/>
    <x v="331"/>
    <x v="2"/>
  </r>
  <r>
    <x v="9"/>
    <x v="28"/>
    <x v="27"/>
    <x v="7"/>
    <x v="17"/>
    <x v="446"/>
    <x v="275"/>
    <x v="360"/>
    <x v="137"/>
    <x v="289"/>
    <x v="0"/>
    <x v="406"/>
    <x v="143"/>
    <x v="2"/>
  </r>
  <r>
    <x v="10"/>
    <x v="28"/>
    <x v="27"/>
    <x v="7"/>
    <x v="17"/>
    <x v="447"/>
    <x v="227"/>
    <x v="361"/>
    <x v="137"/>
    <x v="155"/>
    <x v="0"/>
    <x v="407"/>
    <x v="436"/>
    <x v="2"/>
  </r>
  <r>
    <x v="11"/>
    <x v="28"/>
    <x v="27"/>
    <x v="7"/>
    <x v="17"/>
    <x v="448"/>
    <x v="278"/>
    <x v="288"/>
    <x v="48"/>
    <x v="295"/>
    <x v="0"/>
    <x v="408"/>
    <x v="99"/>
    <x v="2"/>
  </r>
  <r>
    <x v="12"/>
    <x v="28"/>
    <x v="27"/>
    <x v="7"/>
    <x v="17"/>
    <x v="449"/>
    <x v="130"/>
    <x v="362"/>
    <x v="40"/>
    <x v="100"/>
    <x v="0"/>
    <x v="409"/>
    <x v="437"/>
    <x v="2"/>
  </r>
  <r>
    <x v="13"/>
    <x v="28"/>
    <x v="27"/>
    <x v="7"/>
    <x v="17"/>
    <x v="450"/>
    <x v="212"/>
    <x v="154"/>
    <x v="127"/>
    <x v="143"/>
    <x v="0"/>
    <x v="410"/>
    <x v="438"/>
    <x v="2"/>
  </r>
  <r>
    <x v="14"/>
    <x v="28"/>
    <x v="27"/>
    <x v="7"/>
    <x v="17"/>
    <x v="400"/>
    <x v="279"/>
    <x v="159"/>
    <x v="127"/>
    <x v="89"/>
    <x v="0"/>
    <x v="371"/>
    <x v="391"/>
    <x v="2"/>
  </r>
  <r>
    <x v="15"/>
    <x v="28"/>
    <x v="27"/>
    <x v="7"/>
    <x v="17"/>
    <x v="419"/>
    <x v="171"/>
    <x v="363"/>
    <x v="46"/>
    <x v="101"/>
    <x v="1"/>
    <x v="386"/>
    <x v="409"/>
    <x v="2"/>
  </r>
  <r>
    <x v="16"/>
    <x v="28"/>
    <x v="27"/>
    <x v="7"/>
    <x v="17"/>
    <x v="149"/>
    <x v="227"/>
    <x v="277"/>
    <x v="128"/>
    <x v="102"/>
    <x v="1"/>
    <x v="137"/>
    <x v="143"/>
    <x v="2"/>
  </r>
  <r>
    <x v="0"/>
    <x v="29"/>
    <x v="28"/>
    <x v="2"/>
    <x v="18"/>
    <x v="451"/>
    <x v="280"/>
    <x v="360"/>
    <x v="112"/>
    <x v="320"/>
    <x v="0"/>
    <x v="411"/>
    <x v="439"/>
    <x v="3"/>
  </r>
  <r>
    <x v="1"/>
    <x v="29"/>
    <x v="28"/>
    <x v="2"/>
    <x v="18"/>
    <x v="452"/>
    <x v="28"/>
    <x v="359"/>
    <x v="62"/>
    <x v="321"/>
    <x v="0"/>
    <x v="412"/>
    <x v="440"/>
    <x v="3"/>
  </r>
  <r>
    <x v="2"/>
    <x v="29"/>
    <x v="28"/>
    <x v="2"/>
    <x v="18"/>
    <x v="453"/>
    <x v="186"/>
    <x v="162"/>
    <x v="50"/>
    <x v="321"/>
    <x v="0"/>
    <x v="413"/>
    <x v="441"/>
    <x v="3"/>
  </r>
  <r>
    <x v="3"/>
    <x v="29"/>
    <x v="28"/>
    <x v="2"/>
    <x v="18"/>
    <x v="454"/>
    <x v="40"/>
    <x v="153"/>
    <x v="205"/>
    <x v="321"/>
    <x v="0"/>
    <x v="414"/>
    <x v="442"/>
    <x v="3"/>
  </r>
  <r>
    <x v="4"/>
    <x v="29"/>
    <x v="28"/>
    <x v="2"/>
    <x v="18"/>
    <x v="69"/>
    <x v="12"/>
    <x v="289"/>
    <x v="138"/>
    <x v="321"/>
    <x v="0"/>
    <x v="415"/>
    <x v="443"/>
    <x v="3"/>
  </r>
  <r>
    <x v="5"/>
    <x v="29"/>
    <x v="28"/>
    <x v="2"/>
    <x v="18"/>
    <x v="455"/>
    <x v="281"/>
    <x v="99"/>
    <x v="85"/>
    <x v="321"/>
    <x v="0"/>
    <x v="416"/>
    <x v="444"/>
    <x v="3"/>
  </r>
  <r>
    <x v="6"/>
    <x v="29"/>
    <x v="28"/>
    <x v="2"/>
    <x v="18"/>
    <x v="456"/>
    <x v="50"/>
    <x v="364"/>
    <x v="131"/>
    <x v="322"/>
    <x v="0"/>
    <x v="417"/>
    <x v="445"/>
    <x v="3"/>
  </r>
  <r>
    <x v="7"/>
    <x v="29"/>
    <x v="28"/>
    <x v="2"/>
    <x v="18"/>
    <x v="457"/>
    <x v="56"/>
    <x v="365"/>
    <x v="86"/>
    <x v="322"/>
    <x v="0"/>
    <x v="418"/>
    <x v="446"/>
    <x v="3"/>
  </r>
  <r>
    <x v="8"/>
    <x v="29"/>
    <x v="28"/>
    <x v="2"/>
    <x v="18"/>
    <x v="17"/>
    <x v="21"/>
    <x v="244"/>
    <x v="0"/>
    <x v="322"/>
    <x v="0"/>
    <x v="419"/>
    <x v="447"/>
    <x v="3"/>
  </r>
  <r>
    <x v="9"/>
    <x v="29"/>
    <x v="28"/>
    <x v="2"/>
    <x v="18"/>
    <x v="164"/>
    <x v="280"/>
    <x v="366"/>
    <x v="274"/>
    <x v="322"/>
    <x v="0"/>
    <x v="418"/>
    <x v="448"/>
    <x v="3"/>
  </r>
  <r>
    <x v="10"/>
    <x v="29"/>
    <x v="28"/>
    <x v="2"/>
    <x v="18"/>
    <x v="458"/>
    <x v="11"/>
    <x v="266"/>
    <x v="28"/>
    <x v="323"/>
    <x v="0"/>
    <x v="420"/>
    <x v="449"/>
    <x v="3"/>
  </r>
  <r>
    <x v="11"/>
    <x v="29"/>
    <x v="28"/>
    <x v="2"/>
    <x v="18"/>
    <x v="459"/>
    <x v="12"/>
    <x v="216"/>
    <x v="208"/>
    <x v="323"/>
    <x v="0"/>
    <x v="421"/>
    <x v="450"/>
    <x v="3"/>
  </r>
  <r>
    <x v="12"/>
    <x v="29"/>
    <x v="28"/>
    <x v="2"/>
    <x v="18"/>
    <x v="460"/>
    <x v="282"/>
    <x v="57"/>
    <x v="275"/>
    <x v="324"/>
    <x v="0"/>
    <x v="422"/>
    <x v="451"/>
    <x v="3"/>
  </r>
  <r>
    <x v="13"/>
    <x v="29"/>
    <x v="28"/>
    <x v="2"/>
    <x v="18"/>
    <x v="461"/>
    <x v="283"/>
    <x v="367"/>
    <x v="203"/>
    <x v="325"/>
    <x v="0"/>
    <x v="423"/>
    <x v="452"/>
    <x v="3"/>
  </r>
  <r>
    <x v="14"/>
    <x v="29"/>
    <x v="28"/>
    <x v="2"/>
    <x v="18"/>
    <x v="269"/>
    <x v="0"/>
    <x v="328"/>
    <x v="201"/>
    <x v="325"/>
    <x v="0"/>
    <x v="424"/>
    <x v="453"/>
    <x v="3"/>
  </r>
  <r>
    <x v="15"/>
    <x v="29"/>
    <x v="28"/>
    <x v="2"/>
    <x v="18"/>
    <x v="462"/>
    <x v="284"/>
    <x v="260"/>
    <x v="276"/>
    <x v="80"/>
    <x v="1"/>
    <x v="425"/>
    <x v="454"/>
    <x v="3"/>
  </r>
  <r>
    <x v="16"/>
    <x v="29"/>
    <x v="28"/>
    <x v="2"/>
    <x v="18"/>
    <x v="49"/>
    <x v="21"/>
    <x v="368"/>
    <x v="277"/>
    <x v="80"/>
    <x v="1"/>
    <x v="426"/>
    <x v="455"/>
    <x v="3"/>
  </r>
  <r>
    <x v="0"/>
    <x v="30"/>
    <x v="29"/>
    <x v="2"/>
    <x v="18"/>
    <x v="463"/>
    <x v="159"/>
    <x v="369"/>
    <x v="137"/>
    <x v="320"/>
    <x v="0"/>
    <x v="427"/>
    <x v="456"/>
    <x v="3"/>
  </r>
  <r>
    <x v="1"/>
    <x v="30"/>
    <x v="29"/>
    <x v="2"/>
    <x v="18"/>
    <x v="464"/>
    <x v="26"/>
    <x v="370"/>
    <x v="49"/>
    <x v="320"/>
    <x v="0"/>
    <x v="428"/>
    <x v="457"/>
    <x v="3"/>
  </r>
  <r>
    <x v="2"/>
    <x v="30"/>
    <x v="29"/>
    <x v="2"/>
    <x v="18"/>
    <x v="465"/>
    <x v="11"/>
    <x v="353"/>
    <x v="37"/>
    <x v="320"/>
    <x v="0"/>
    <x v="429"/>
    <x v="458"/>
    <x v="3"/>
  </r>
  <r>
    <x v="3"/>
    <x v="30"/>
    <x v="29"/>
    <x v="2"/>
    <x v="18"/>
    <x v="466"/>
    <x v="44"/>
    <x v="371"/>
    <x v="39"/>
    <x v="320"/>
    <x v="0"/>
    <x v="430"/>
    <x v="459"/>
    <x v="3"/>
  </r>
  <r>
    <x v="4"/>
    <x v="30"/>
    <x v="29"/>
    <x v="2"/>
    <x v="18"/>
    <x v="452"/>
    <x v="266"/>
    <x v="372"/>
    <x v="62"/>
    <x v="321"/>
    <x v="0"/>
    <x v="412"/>
    <x v="440"/>
    <x v="3"/>
  </r>
  <r>
    <x v="5"/>
    <x v="30"/>
    <x v="29"/>
    <x v="2"/>
    <x v="18"/>
    <x v="340"/>
    <x v="202"/>
    <x v="373"/>
    <x v="50"/>
    <x v="321"/>
    <x v="0"/>
    <x v="431"/>
    <x v="460"/>
    <x v="3"/>
  </r>
  <r>
    <x v="6"/>
    <x v="30"/>
    <x v="29"/>
    <x v="2"/>
    <x v="18"/>
    <x v="467"/>
    <x v="31"/>
    <x v="66"/>
    <x v="244"/>
    <x v="321"/>
    <x v="0"/>
    <x v="432"/>
    <x v="461"/>
    <x v="3"/>
  </r>
  <r>
    <x v="7"/>
    <x v="30"/>
    <x v="29"/>
    <x v="2"/>
    <x v="18"/>
    <x v="468"/>
    <x v="34"/>
    <x v="374"/>
    <x v="23"/>
    <x v="321"/>
    <x v="0"/>
    <x v="433"/>
    <x v="462"/>
    <x v="3"/>
  </r>
  <r>
    <x v="8"/>
    <x v="30"/>
    <x v="29"/>
    <x v="2"/>
    <x v="18"/>
    <x v="70"/>
    <x v="245"/>
    <x v="289"/>
    <x v="278"/>
    <x v="321"/>
    <x v="0"/>
    <x v="434"/>
    <x v="463"/>
    <x v="3"/>
  </r>
  <r>
    <x v="9"/>
    <x v="30"/>
    <x v="29"/>
    <x v="2"/>
    <x v="18"/>
    <x v="469"/>
    <x v="17"/>
    <x v="338"/>
    <x v="66"/>
    <x v="321"/>
    <x v="0"/>
    <x v="435"/>
    <x v="464"/>
    <x v="3"/>
  </r>
  <r>
    <x v="10"/>
    <x v="30"/>
    <x v="29"/>
    <x v="2"/>
    <x v="18"/>
    <x v="470"/>
    <x v="25"/>
    <x v="375"/>
    <x v="279"/>
    <x v="322"/>
    <x v="0"/>
    <x v="430"/>
    <x v="465"/>
    <x v="3"/>
  </r>
  <r>
    <x v="11"/>
    <x v="30"/>
    <x v="29"/>
    <x v="2"/>
    <x v="18"/>
    <x v="471"/>
    <x v="268"/>
    <x v="376"/>
    <x v="87"/>
    <x v="322"/>
    <x v="0"/>
    <x v="436"/>
    <x v="466"/>
    <x v="3"/>
  </r>
  <r>
    <x v="12"/>
    <x v="30"/>
    <x v="29"/>
    <x v="2"/>
    <x v="18"/>
    <x v="472"/>
    <x v="4"/>
    <x v="280"/>
    <x v="270"/>
    <x v="323"/>
    <x v="0"/>
    <x v="437"/>
    <x v="460"/>
    <x v="3"/>
  </r>
  <r>
    <x v="13"/>
    <x v="30"/>
    <x v="29"/>
    <x v="2"/>
    <x v="18"/>
    <x v="449"/>
    <x v="18"/>
    <x v="72"/>
    <x v="206"/>
    <x v="323"/>
    <x v="0"/>
    <x v="438"/>
    <x v="467"/>
    <x v="3"/>
  </r>
  <r>
    <x v="14"/>
    <x v="30"/>
    <x v="29"/>
    <x v="2"/>
    <x v="18"/>
    <x v="473"/>
    <x v="13"/>
    <x v="143"/>
    <x v="208"/>
    <x v="323"/>
    <x v="0"/>
    <x v="439"/>
    <x v="468"/>
    <x v="3"/>
  </r>
  <r>
    <x v="15"/>
    <x v="30"/>
    <x v="29"/>
    <x v="2"/>
    <x v="18"/>
    <x v="474"/>
    <x v="29"/>
    <x v="377"/>
    <x v="33"/>
    <x v="324"/>
    <x v="1"/>
    <x v="440"/>
    <x v="469"/>
    <x v="3"/>
  </r>
  <r>
    <x v="16"/>
    <x v="30"/>
    <x v="29"/>
    <x v="2"/>
    <x v="18"/>
    <x v="475"/>
    <x v="285"/>
    <x v="378"/>
    <x v="203"/>
    <x v="325"/>
    <x v="1"/>
    <x v="441"/>
    <x v="470"/>
    <x v="3"/>
  </r>
  <r>
    <x v="0"/>
    <x v="31"/>
    <x v="30"/>
    <x v="3"/>
    <x v="4"/>
    <x v="476"/>
    <x v="235"/>
    <x v="379"/>
    <x v="280"/>
    <x v="83"/>
    <x v="0"/>
    <x v="442"/>
    <x v="471"/>
    <x v="1"/>
  </r>
  <r>
    <x v="1"/>
    <x v="31"/>
    <x v="30"/>
    <x v="3"/>
    <x v="4"/>
    <x v="477"/>
    <x v="105"/>
    <x v="380"/>
    <x v="239"/>
    <x v="85"/>
    <x v="0"/>
    <x v="443"/>
    <x v="472"/>
    <x v="1"/>
  </r>
  <r>
    <x v="2"/>
    <x v="31"/>
    <x v="30"/>
    <x v="3"/>
    <x v="4"/>
    <x v="478"/>
    <x v="119"/>
    <x v="64"/>
    <x v="59"/>
    <x v="319"/>
    <x v="0"/>
    <x v="382"/>
    <x v="129"/>
    <x v="1"/>
  </r>
  <r>
    <x v="3"/>
    <x v="31"/>
    <x v="30"/>
    <x v="3"/>
    <x v="4"/>
    <x v="479"/>
    <x v="235"/>
    <x v="95"/>
    <x v="137"/>
    <x v="289"/>
    <x v="0"/>
    <x v="403"/>
    <x v="473"/>
    <x v="1"/>
  </r>
  <r>
    <x v="4"/>
    <x v="31"/>
    <x v="30"/>
    <x v="3"/>
    <x v="4"/>
    <x v="480"/>
    <x v="286"/>
    <x v="283"/>
    <x v="41"/>
    <x v="154"/>
    <x v="0"/>
    <x v="140"/>
    <x v="474"/>
    <x v="1"/>
  </r>
  <r>
    <x v="5"/>
    <x v="31"/>
    <x v="30"/>
    <x v="3"/>
    <x v="4"/>
    <x v="75"/>
    <x v="124"/>
    <x v="299"/>
    <x v="112"/>
    <x v="127"/>
    <x v="0"/>
    <x v="298"/>
    <x v="475"/>
    <x v="1"/>
  </r>
  <r>
    <x v="6"/>
    <x v="31"/>
    <x v="30"/>
    <x v="3"/>
    <x v="4"/>
    <x v="481"/>
    <x v="109"/>
    <x v="278"/>
    <x v="281"/>
    <x v="326"/>
    <x v="0"/>
    <x v="104"/>
    <x v="99"/>
    <x v="1"/>
  </r>
  <r>
    <x v="7"/>
    <x v="31"/>
    <x v="30"/>
    <x v="3"/>
    <x v="4"/>
    <x v="482"/>
    <x v="124"/>
    <x v="381"/>
    <x v="85"/>
    <x v="327"/>
    <x v="0"/>
    <x v="444"/>
    <x v="476"/>
    <x v="1"/>
  </r>
  <r>
    <x v="8"/>
    <x v="31"/>
    <x v="30"/>
    <x v="3"/>
    <x v="4"/>
    <x v="483"/>
    <x v="106"/>
    <x v="39"/>
    <x v="269"/>
    <x v="328"/>
    <x v="0"/>
    <x v="445"/>
    <x v="477"/>
    <x v="1"/>
  </r>
  <r>
    <x v="9"/>
    <x v="31"/>
    <x v="30"/>
    <x v="3"/>
    <x v="4"/>
    <x v="484"/>
    <x v="287"/>
    <x v="382"/>
    <x v="216"/>
    <x v="254"/>
    <x v="0"/>
    <x v="446"/>
    <x v="400"/>
    <x v="1"/>
  </r>
  <r>
    <x v="10"/>
    <x v="31"/>
    <x v="30"/>
    <x v="3"/>
    <x v="4"/>
    <x v="485"/>
    <x v="247"/>
    <x v="261"/>
    <x v="97"/>
    <x v="111"/>
    <x v="0"/>
    <x v="447"/>
    <x v="99"/>
    <x v="1"/>
  </r>
  <r>
    <x v="11"/>
    <x v="31"/>
    <x v="30"/>
    <x v="3"/>
    <x v="4"/>
    <x v="486"/>
    <x v="43"/>
    <x v="383"/>
    <x v="282"/>
    <x v="244"/>
    <x v="0"/>
    <x v="448"/>
    <x v="478"/>
    <x v="1"/>
  </r>
  <r>
    <x v="12"/>
    <x v="31"/>
    <x v="30"/>
    <x v="3"/>
    <x v="4"/>
    <x v="440"/>
    <x v="249"/>
    <x v="372"/>
    <x v="17"/>
    <x v="86"/>
    <x v="0"/>
    <x v="404"/>
    <x v="433"/>
    <x v="1"/>
  </r>
  <r>
    <x v="13"/>
    <x v="31"/>
    <x v="30"/>
    <x v="3"/>
    <x v="4"/>
    <x v="449"/>
    <x v="288"/>
    <x v="267"/>
    <x v="40"/>
    <x v="100"/>
    <x v="0"/>
    <x v="409"/>
    <x v="437"/>
    <x v="1"/>
  </r>
  <r>
    <x v="14"/>
    <x v="31"/>
    <x v="30"/>
    <x v="3"/>
    <x v="4"/>
    <x v="386"/>
    <x v="111"/>
    <x v="384"/>
    <x v="210"/>
    <x v="67"/>
    <x v="0"/>
    <x v="356"/>
    <x v="376"/>
    <x v="1"/>
  </r>
  <r>
    <x v="15"/>
    <x v="31"/>
    <x v="30"/>
    <x v="3"/>
    <x v="4"/>
    <x v="487"/>
    <x v="172"/>
    <x v="110"/>
    <x v="283"/>
    <x v="239"/>
    <x v="1"/>
    <x v="292"/>
    <x v="479"/>
    <x v="1"/>
  </r>
  <r>
    <x v="16"/>
    <x v="31"/>
    <x v="30"/>
    <x v="3"/>
    <x v="4"/>
    <x v="488"/>
    <x v="114"/>
    <x v="329"/>
    <x v="284"/>
    <x v="329"/>
    <x v="1"/>
    <x v="449"/>
    <x v="480"/>
    <x v="1"/>
  </r>
  <r>
    <x v="7"/>
    <x v="32"/>
    <x v="31"/>
    <x v="3"/>
    <x v="7"/>
    <x v="489"/>
    <x v="289"/>
    <x v="385"/>
    <x v="285"/>
    <x v="323"/>
    <x v="0"/>
    <x v="193"/>
    <x v="481"/>
    <x v="0"/>
  </r>
  <r>
    <x v="8"/>
    <x v="32"/>
    <x v="31"/>
    <x v="3"/>
    <x v="7"/>
    <x v="490"/>
    <x v="103"/>
    <x v="386"/>
    <x v="286"/>
    <x v="83"/>
    <x v="0"/>
    <x v="450"/>
    <x v="482"/>
    <x v="0"/>
  </r>
  <r>
    <x v="9"/>
    <x v="32"/>
    <x v="31"/>
    <x v="3"/>
    <x v="7"/>
    <x v="491"/>
    <x v="104"/>
    <x v="387"/>
    <x v="287"/>
    <x v="286"/>
    <x v="0"/>
    <x v="451"/>
    <x v="483"/>
    <x v="0"/>
  </r>
  <r>
    <x v="10"/>
    <x v="32"/>
    <x v="31"/>
    <x v="3"/>
    <x v="7"/>
    <x v="492"/>
    <x v="197"/>
    <x v="371"/>
    <x v="280"/>
    <x v="89"/>
    <x v="0"/>
    <x v="452"/>
    <x v="484"/>
    <x v="0"/>
  </r>
  <r>
    <x v="11"/>
    <x v="32"/>
    <x v="31"/>
    <x v="3"/>
    <x v="7"/>
    <x v="441"/>
    <x v="31"/>
    <x v="153"/>
    <x v="58"/>
    <x v="63"/>
    <x v="0"/>
    <x v="193"/>
    <x v="485"/>
    <x v="0"/>
  </r>
  <r>
    <x v="12"/>
    <x v="32"/>
    <x v="31"/>
    <x v="3"/>
    <x v="7"/>
    <x v="493"/>
    <x v="27"/>
    <x v="141"/>
    <x v="37"/>
    <x v="304"/>
    <x v="0"/>
    <x v="453"/>
    <x v="486"/>
    <x v="0"/>
  </r>
  <r>
    <x v="13"/>
    <x v="32"/>
    <x v="31"/>
    <x v="3"/>
    <x v="7"/>
    <x v="494"/>
    <x v="95"/>
    <x v="298"/>
    <x v="22"/>
    <x v="330"/>
    <x v="0"/>
    <x v="454"/>
    <x v="487"/>
    <x v="0"/>
  </r>
  <r>
    <x v="14"/>
    <x v="32"/>
    <x v="31"/>
    <x v="3"/>
    <x v="7"/>
    <x v="330"/>
    <x v="290"/>
    <x v="388"/>
    <x v="63"/>
    <x v="331"/>
    <x v="0"/>
    <x v="455"/>
    <x v="488"/>
    <x v="0"/>
  </r>
  <r>
    <x v="15"/>
    <x v="32"/>
    <x v="31"/>
    <x v="3"/>
    <x v="7"/>
    <x v="495"/>
    <x v="129"/>
    <x v="381"/>
    <x v="51"/>
    <x v="251"/>
    <x v="1"/>
    <x v="193"/>
    <x v="489"/>
    <x v="0"/>
  </r>
  <r>
    <x v="16"/>
    <x v="32"/>
    <x v="31"/>
    <x v="3"/>
    <x v="7"/>
    <x v="496"/>
    <x v="76"/>
    <x v="18"/>
    <x v="66"/>
    <x v="76"/>
    <x v="1"/>
    <x v="456"/>
    <x v="490"/>
    <x v="0"/>
  </r>
  <r>
    <x v="8"/>
    <x v="33"/>
    <x v="32"/>
    <x v="3"/>
    <x v="7"/>
    <x v="497"/>
    <x v="286"/>
    <x v="389"/>
    <x v="286"/>
    <x v="332"/>
    <x v="0"/>
    <x v="457"/>
    <x v="491"/>
    <x v="0"/>
  </r>
  <r>
    <x v="9"/>
    <x v="33"/>
    <x v="32"/>
    <x v="3"/>
    <x v="7"/>
    <x v="498"/>
    <x v="265"/>
    <x v="379"/>
    <x v="288"/>
    <x v="290"/>
    <x v="0"/>
    <x v="458"/>
    <x v="492"/>
    <x v="0"/>
  </r>
  <r>
    <x v="10"/>
    <x v="33"/>
    <x v="32"/>
    <x v="3"/>
    <x v="7"/>
    <x v="499"/>
    <x v="245"/>
    <x v="360"/>
    <x v="289"/>
    <x v="98"/>
    <x v="0"/>
    <x v="459"/>
    <x v="493"/>
    <x v="0"/>
  </r>
  <r>
    <x v="11"/>
    <x v="33"/>
    <x v="32"/>
    <x v="3"/>
    <x v="7"/>
    <x v="500"/>
    <x v="20"/>
    <x v="99"/>
    <x v="240"/>
    <x v="147"/>
    <x v="0"/>
    <x v="460"/>
    <x v="494"/>
    <x v="0"/>
  </r>
  <r>
    <x v="12"/>
    <x v="33"/>
    <x v="32"/>
    <x v="3"/>
    <x v="7"/>
    <x v="501"/>
    <x v="15"/>
    <x v="299"/>
    <x v="60"/>
    <x v="333"/>
    <x v="0"/>
    <x v="193"/>
    <x v="495"/>
    <x v="0"/>
  </r>
  <r>
    <x v="13"/>
    <x v="33"/>
    <x v="32"/>
    <x v="3"/>
    <x v="7"/>
    <x v="502"/>
    <x v="171"/>
    <x v="154"/>
    <x v="41"/>
    <x v="240"/>
    <x v="0"/>
    <x v="461"/>
    <x v="496"/>
    <x v="0"/>
  </r>
  <r>
    <x v="14"/>
    <x v="33"/>
    <x v="32"/>
    <x v="3"/>
    <x v="7"/>
    <x v="267"/>
    <x v="102"/>
    <x v="128"/>
    <x v="127"/>
    <x v="249"/>
    <x v="0"/>
    <x v="462"/>
    <x v="497"/>
    <x v="0"/>
  </r>
  <r>
    <x v="15"/>
    <x v="33"/>
    <x v="32"/>
    <x v="3"/>
    <x v="7"/>
    <x v="503"/>
    <x v="291"/>
    <x v="102"/>
    <x v="46"/>
    <x v="334"/>
    <x v="1"/>
    <x v="463"/>
    <x v="498"/>
    <x v="0"/>
  </r>
  <r>
    <x v="16"/>
    <x v="33"/>
    <x v="32"/>
    <x v="3"/>
    <x v="7"/>
    <x v="504"/>
    <x v="142"/>
    <x v="277"/>
    <x v="139"/>
    <x v="335"/>
    <x v="1"/>
    <x v="464"/>
    <x v="499"/>
    <x v="0"/>
  </r>
  <r>
    <x v="0"/>
    <x v="34"/>
    <x v="33"/>
    <x v="3"/>
    <x v="0"/>
    <x v="505"/>
    <x v="35"/>
    <x v="390"/>
    <x v="287"/>
    <x v="289"/>
    <x v="0"/>
    <x v="465"/>
    <x v="500"/>
    <x v="0"/>
  </r>
  <r>
    <x v="1"/>
    <x v="34"/>
    <x v="33"/>
    <x v="3"/>
    <x v="0"/>
    <x v="506"/>
    <x v="292"/>
    <x v="391"/>
    <x v="287"/>
    <x v="289"/>
    <x v="0"/>
    <x v="64"/>
    <x v="501"/>
    <x v="0"/>
  </r>
  <r>
    <x v="2"/>
    <x v="34"/>
    <x v="33"/>
    <x v="3"/>
    <x v="0"/>
    <x v="506"/>
    <x v="284"/>
    <x v="392"/>
    <x v="287"/>
    <x v="289"/>
    <x v="0"/>
    <x v="64"/>
    <x v="501"/>
    <x v="0"/>
  </r>
  <r>
    <x v="3"/>
    <x v="34"/>
    <x v="33"/>
    <x v="3"/>
    <x v="0"/>
    <x v="507"/>
    <x v="46"/>
    <x v="393"/>
    <x v="287"/>
    <x v="336"/>
    <x v="0"/>
    <x v="466"/>
    <x v="502"/>
    <x v="0"/>
  </r>
  <r>
    <x v="4"/>
    <x v="34"/>
    <x v="33"/>
    <x v="3"/>
    <x v="0"/>
    <x v="508"/>
    <x v="40"/>
    <x v="352"/>
    <x v="287"/>
    <x v="126"/>
    <x v="0"/>
    <x v="467"/>
    <x v="503"/>
    <x v="0"/>
  </r>
  <r>
    <x v="5"/>
    <x v="34"/>
    <x v="33"/>
    <x v="3"/>
    <x v="0"/>
    <x v="509"/>
    <x v="44"/>
    <x v="394"/>
    <x v="290"/>
    <x v="295"/>
    <x v="0"/>
    <x v="468"/>
    <x v="504"/>
    <x v="0"/>
  </r>
  <r>
    <x v="6"/>
    <x v="34"/>
    <x v="33"/>
    <x v="3"/>
    <x v="0"/>
    <x v="510"/>
    <x v="34"/>
    <x v="395"/>
    <x v="290"/>
    <x v="154"/>
    <x v="0"/>
    <x v="469"/>
    <x v="505"/>
    <x v="0"/>
  </r>
  <r>
    <x v="7"/>
    <x v="34"/>
    <x v="33"/>
    <x v="3"/>
    <x v="0"/>
    <x v="511"/>
    <x v="293"/>
    <x v="393"/>
    <x v="291"/>
    <x v="127"/>
    <x v="0"/>
    <x v="470"/>
    <x v="506"/>
    <x v="0"/>
  </r>
  <r>
    <x v="8"/>
    <x v="34"/>
    <x v="33"/>
    <x v="3"/>
    <x v="0"/>
    <x v="512"/>
    <x v="43"/>
    <x v="379"/>
    <x v="291"/>
    <x v="235"/>
    <x v="0"/>
    <x v="471"/>
    <x v="507"/>
    <x v="0"/>
  </r>
  <r>
    <x v="9"/>
    <x v="34"/>
    <x v="33"/>
    <x v="3"/>
    <x v="0"/>
    <x v="513"/>
    <x v="32"/>
    <x v="369"/>
    <x v="291"/>
    <x v="143"/>
    <x v="0"/>
    <x v="472"/>
    <x v="66"/>
    <x v="0"/>
  </r>
  <r>
    <x v="10"/>
    <x v="34"/>
    <x v="33"/>
    <x v="3"/>
    <x v="0"/>
    <x v="514"/>
    <x v="14"/>
    <x v="396"/>
    <x v="292"/>
    <x v="128"/>
    <x v="0"/>
    <x v="473"/>
    <x v="508"/>
    <x v="0"/>
  </r>
  <r>
    <x v="11"/>
    <x v="34"/>
    <x v="33"/>
    <x v="3"/>
    <x v="0"/>
    <x v="515"/>
    <x v="266"/>
    <x v="374"/>
    <x v="289"/>
    <x v="256"/>
    <x v="0"/>
    <x v="474"/>
    <x v="509"/>
    <x v="0"/>
  </r>
  <r>
    <x v="12"/>
    <x v="34"/>
    <x v="33"/>
    <x v="3"/>
    <x v="0"/>
    <x v="456"/>
    <x v="25"/>
    <x v="363"/>
    <x v="293"/>
    <x v="337"/>
    <x v="0"/>
    <x v="475"/>
    <x v="510"/>
    <x v="0"/>
  </r>
  <r>
    <x v="13"/>
    <x v="34"/>
    <x v="33"/>
    <x v="3"/>
    <x v="0"/>
    <x v="516"/>
    <x v="245"/>
    <x v="65"/>
    <x v="239"/>
    <x v="148"/>
    <x v="0"/>
    <x v="476"/>
    <x v="68"/>
    <x v="0"/>
  </r>
  <r>
    <x v="14"/>
    <x v="34"/>
    <x v="33"/>
    <x v="3"/>
    <x v="0"/>
    <x v="468"/>
    <x v="268"/>
    <x v="162"/>
    <x v="56"/>
    <x v="161"/>
    <x v="0"/>
    <x v="473"/>
    <x v="511"/>
    <x v="0"/>
  </r>
  <r>
    <x v="15"/>
    <x v="34"/>
    <x v="33"/>
    <x v="3"/>
    <x v="0"/>
    <x v="517"/>
    <x v="186"/>
    <x v="397"/>
    <x v="238"/>
    <x v="252"/>
    <x v="1"/>
    <x v="477"/>
    <x v="45"/>
    <x v="0"/>
  </r>
  <r>
    <x v="16"/>
    <x v="34"/>
    <x v="33"/>
    <x v="3"/>
    <x v="0"/>
    <x v="516"/>
    <x v="37"/>
    <x v="289"/>
    <x v="239"/>
    <x v="239"/>
    <x v="1"/>
    <x v="476"/>
    <x v="512"/>
    <x v="0"/>
  </r>
  <r>
    <x v="9"/>
    <x v="35"/>
    <x v="34"/>
    <x v="2"/>
    <x v="19"/>
    <x v="518"/>
    <x v="294"/>
    <x v="398"/>
    <x v="294"/>
    <x v="338"/>
    <x v="0"/>
    <x v="478"/>
    <x v="513"/>
    <x v="1"/>
  </r>
  <r>
    <x v="10"/>
    <x v="35"/>
    <x v="34"/>
    <x v="2"/>
    <x v="19"/>
    <x v="518"/>
    <x v="295"/>
    <x v="398"/>
    <x v="294"/>
    <x v="338"/>
    <x v="0"/>
    <x v="478"/>
    <x v="513"/>
    <x v="1"/>
  </r>
  <r>
    <x v="11"/>
    <x v="35"/>
    <x v="34"/>
    <x v="2"/>
    <x v="19"/>
    <x v="489"/>
    <x v="296"/>
    <x v="399"/>
    <x v="287"/>
    <x v="338"/>
    <x v="0"/>
    <x v="479"/>
    <x v="513"/>
    <x v="1"/>
  </r>
  <r>
    <x v="12"/>
    <x v="35"/>
    <x v="34"/>
    <x v="2"/>
    <x v="19"/>
    <x v="519"/>
    <x v="279"/>
    <x v="400"/>
    <x v="295"/>
    <x v="338"/>
    <x v="0"/>
    <x v="479"/>
    <x v="513"/>
    <x v="1"/>
  </r>
  <r>
    <x v="13"/>
    <x v="35"/>
    <x v="34"/>
    <x v="2"/>
    <x v="19"/>
    <x v="520"/>
    <x v="294"/>
    <x v="400"/>
    <x v="55"/>
    <x v="338"/>
    <x v="0"/>
    <x v="479"/>
    <x v="513"/>
    <x v="1"/>
  </r>
  <r>
    <x v="14"/>
    <x v="35"/>
    <x v="34"/>
    <x v="2"/>
    <x v="19"/>
    <x v="521"/>
    <x v="297"/>
    <x v="400"/>
    <x v="49"/>
    <x v="320"/>
    <x v="0"/>
    <x v="480"/>
    <x v="514"/>
    <x v="1"/>
  </r>
  <r>
    <x v="15"/>
    <x v="35"/>
    <x v="34"/>
    <x v="2"/>
    <x v="19"/>
    <x v="522"/>
    <x v="298"/>
    <x v="401"/>
    <x v="64"/>
    <x v="321"/>
    <x v="1"/>
    <x v="479"/>
    <x v="515"/>
    <x v="1"/>
  </r>
  <r>
    <x v="16"/>
    <x v="35"/>
    <x v="34"/>
    <x v="2"/>
    <x v="19"/>
    <x v="523"/>
    <x v="299"/>
    <x v="402"/>
    <x v="132"/>
    <x v="321"/>
    <x v="1"/>
    <x v="481"/>
    <x v="516"/>
    <x v="1"/>
  </r>
  <r>
    <x v="9"/>
    <x v="36"/>
    <x v="35"/>
    <x v="8"/>
    <x v="19"/>
    <x v="518"/>
    <x v="164"/>
    <x v="398"/>
    <x v="294"/>
    <x v="338"/>
    <x v="0"/>
    <x v="478"/>
    <x v="513"/>
    <x v="1"/>
  </r>
  <r>
    <x v="10"/>
    <x v="36"/>
    <x v="35"/>
    <x v="8"/>
    <x v="19"/>
    <x v="518"/>
    <x v="300"/>
    <x v="398"/>
    <x v="294"/>
    <x v="338"/>
    <x v="0"/>
    <x v="478"/>
    <x v="513"/>
    <x v="1"/>
  </r>
  <r>
    <x v="11"/>
    <x v="36"/>
    <x v="35"/>
    <x v="8"/>
    <x v="19"/>
    <x v="524"/>
    <x v="301"/>
    <x v="399"/>
    <x v="286"/>
    <x v="338"/>
    <x v="0"/>
    <x v="482"/>
    <x v="513"/>
    <x v="1"/>
  </r>
  <r>
    <x v="12"/>
    <x v="36"/>
    <x v="35"/>
    <x v="8"/>
    <x v="19"/>
    <x v="525"/>
    <x v="302"/>
    <x v="399"/>
    <x v="296"/>
    <x v="338"/>
    <x v="0"/>
    <x v="483"/>
    <x v="513"/>
    <x v="1"/>
  </r>
  <r>
    <x v="13"/>
    <x v="36"/>
    <x v="35"/>
    <x v="8"/>
    <x v="19"/>
    <x v="525"/>
    <x v="303"/>
    <x v="398"/>
    <x v="296"/>
    <x v="338"/>
    <x v="0"/>
    <x v="483"/>
    <x v="513"/>
    <x v="1"/>
  </r>
  <r>
    <x v="14"/>
    <x v="36"/>
    <x v="35"/>
    <x v="8"/>
    <x v="19"/>
    <x v="525"/>
    <x v="304"/>
    <x v="399"/>
    <x v="296"/>
    <x v="338"/>
    <x v="0"/>
    <x v="483"/>
    <x v="513"/>
    <x v="1"/>
  </r>
  <r>
    <x v="15"/>
    <x v="36"/>
    <x v="35"/>
    <x v="8"/>
    <x v="19"/>
    <x v="526"/>
    <x v="305"/>
    <x v="399"/>
    <x v="286"/>
    <x v="338"/>
    <x v="1"/>
    <x v="479"/>
    <x v="513"/>
    <x v="1"/>
  </r>
  <r>
    <x v="16"/>
    <x v="36"/>
    <x v="35"/>
    <x v="8"/>
    <x v="19"/>
    <x v="524"/>
    <x v="306"/>
    <x v="399"/>
    <x v="297"/>
    <x v="338"/>
    <x v="1"/>
    <x v="484"/>
    <x v="513"/>
    <x v="1"/>
  </r>
  <r>
    <x v="10"/>
    <x v="37"/>
    <x v="36"/>
    <x v="2"/>
    <x v="19"/>
    <x v="518"/>
    <x v="224"/>
    <x v="398"/>
    <x v="294"/>
    <x v="338"/>
    <x v="0"/>
    <x v="478"/>
    <x v="513"/>
    <x v="1"/>
  </r>
  <r>
    <x v="11"/>
    <x v="37"/>
    <x v="36"/>
    <x v="2"/>
    <x v="19"/>
    <x v="518"/>
    <x v="276"/>
    <x v="398"/>
    <x v="294"/>
    <x v="338"/>
    <x v="0"/>
    <x v="478"/>
    <x v="513"/>
    <x v="1"/>
  </r>
  <r>
    <x v="12"/>
    <x v="37"/>
    <x v="36"/>
    <x v="2"/>
    <x v="19"/>
    <x v="527"/>
    <x v="307"/>
    <x v="398"/>
    <x v="285"/>
    <x v="338"/>
    <x v="0"/>
    <x v="479"/>
    <x v="513"/>
    <x v="1"/>
  </r>
  <r>
    <x v="13"/>
    <x v="37"/>
    <x v="36"/>
    <x v="2"/>
    <x v="19"/>
    <x v="528"/>
    <x v="308"/>
    <x v="398"/>
    <x v="296"/>
    <x v="338"/>
    <x v="0"/>
    <x v="479"/>
    <x v="513"/>
    <x v="1"/>
  </r>
  <r>
    <x v="14"/>
    <x v="37"/>
    <x v="36"/>
    <x v="2"/>
    <x v="19"/>
    <x v="529"/>
    <x v="309"/>
    <x v="403"/>
    <x v="17"/>
    <x v="338"/>
    <x v="0"/>
    <x v="479"/>
    <x v="513"/>
    <x v="1"/>
  </r>
  <r>
    <x v="15"/>
    <x v="37"/>
    <x v="36"/>
    <x v="2"/>
    <x v="19"/>
    <x v="530"/>
    <x v="310"/>
    <x v="401"/>
    <x v="244"/>
    <x v="320"/>
    <x v="1"/>
    <x v="485"/>
    <x v="517"/>
    <x v="1"/>
  </r>
  <r>
    <x v="16"/>
    <x v="37"/>
    <x v="36"/>
    <x v="2"/>
    <x v="19"/>
    <x v="531"/>
    <x v="311"/>
    <x v="404"/>
    <x v="86"/>
    <x v="321"/>
    <x v="1"/>
    <x v="479"/>
    <x v="518"/>
    <x v="1"/>
  </r>
  <r>
    <x v="10"/>
    <x v="38"/>
    <x v="37"/>
    <x v="2"/>
    <x v="19"/>
    <x v="518"/>
    <x v="296"/>
    <x v="398"/>
    <x v="294"/>
    <x v="338"/>
    <x v="0"/>
    <x v="478"/>
    <x v="513"/>
    <x v="1"/>
  </r>
  <r>
    <x v="11"/>
    <x v="38"/>
    <x v="37"/>
    <x v="2"/>
    <x v="19"/>
    <x v="527"/>
    <x v="312"/>
    <x v="398"/>
    <x v="285"/>
    <x v="338"/>
    <x v="0"/>
    <x v="479"/>
    <x v="513"/>
    <x v="1"/>
  </r>
  <r>
    <x v="12"/>
    <x v="38"/>
    <x v="37"/>
    <x v="2"/>
    <x v="19"/>
    <x v="525"/>
    <x v="309"/>
    <x v="398"/>
    <x v="286"/>
    <x v="338"/>
    <x v="0"/>
    <x v="486"/>
    <x v="513"/>
    <x v="1"/>
  </r>
  <r>
    <x v="13"/>
    <x v="38"/>
    <x v="37"/>
    <x v="2"/>
    <x v="19"/>
    <x v="489"/>
    <x v="148"/>
    <x v="399"/>
    <x v="287"/>
    <x v="338"/>
    <x v="0"/>
    <x v="479"/>
    <x v="513"/>
    <x v="1"/>
  </r>
  <r>
    <x v="14"/>
    <x v="38"/>
    <x v="37"/>
    <x v="2"/>
    <x v="19"/>
    <x v="532"/>
    <x v="303"/>
    <x v="385"/>
    <x v="238"/>
    <x v="338"/>
    <x v="0"/>
    <x v="487"/>
    <x v="513"/>
    <x v="1"/>
  </r>
  <r>
    <x v="15"/>
    <x v="38"/>
    <x v="37"/>
    <x v="2"/>
    <x v="19"/>
    <x v="533"/>
    <x v="313"/>
    <x v="400"/>
    <x v="21"/>
    <x v="320"/>
    <x v="1"/>
    <x v="479"/>
    <x v="519"/>
    <x v="1"/>
  </r>
  <r>
    <x v="16"/>
    <x v="38"/>
    <x v="37"/>
    <x v="2"/>
    <x v="19"/>
    <x v="499"/>
    <x v="138"/>
    <x v="405"/>
    <x v="129"/>
    <x v="320"/>
    <x v="1"/>
    <x v="488"/>
    <x v="520"/>
    <x v="1"/>
  </r>
  <r>
    <x v="10"/>
    <x v="39"/>
    <x v="38"/>
    <x v="2"/>
    <x v="19"/>
    <x v="518"/>
    <x v="314"/>
    <x v="398"/>
    <x v="294"/>
    <x v="338"/>
    <x v="0"/>
    <x v="478"/>
    <x v="513"/>
    <x v="1"/>
  </r>
  <r>
    <x v="11"/>
    <x v="39"/>
    <x v="38"/>
    <x v="2"/>
    <x v="19"/>
    <x v="534"/>
    <x v="224"/>
    <x v="398"/>
    <x v="285"/>
    <x v="338"/>
    <x v="0"/>
    <x v="489"/>
    <x v="513"/>
    <x v="1"/>
  </r>
  <r>
    <x v="12"/>
    <x v="39"/>
    <x v="38"/>
    <x v="2"/>
    <x v="19"/>
    <x v="525"/>
    <x v="211"/>
    <x v="399"/>
    <x v="296"/>
    <x v="338"/>
    <x v="0"/>
    <x v="483"/>
    <x v="513"/>
    <x v="1"/>
  </r>
  <r>
    <x v="13"/>
    <x v="39"/>
    <x v="38"/>
    <x v="2"/>
    <x v="19"/>
    <x v="489"/>
    <x v="315"/>
    <x v="399"/>
    <x v="287"/>
    <x v="338"/>
    <x v="0"/>
    <x v="479"/>
    <x v="513"/>
    <x v="1"/>
  </r>
  <r>
    <x v="14"/>
    <x v="39"/>
    <x v="38"/>
    <x v="2"/>
    <x v="19"/>
    <x v="497"/>
    <x v="178"/>
    <x v="403"/>
    <x v="55"/>
    <x v="338"/>
    <x v="0"/>
    <x v="490"/>
    <x v="513"/>
    <x v="1"/>
  </r>
  <r>
    <x v="15"/>
    <x v="39"/>
    <x v="38"/>
    <x v="2"/>
    <x v="19"/>
    <x v="535"/>
    <x v="316"/>
    <x v="406"/>
    <x v="36"/>
    <x v="320"/>
    <x v="1"/>
    <x v="479"/>
    <x v="521"/>
    <x v="1"/>
  </r>
  <r>
    <x v="16"/>
    <x v="39"/>
    <x v="38"/>
    <x v="2"/>
    <x v="19"/>
    <x v="536"/>
    <x v="317"/>
    <x v="401"/>
    <x v="45"/>
    <x v="320"/>
    <x v="1"/>
    <x v="479"/>
    <x v="52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05">
  <r>
    <x v="0"/>
    <x v="0"/>
    <x v="0"/>
    <x v="0"/>
    <x v="0"/>
    <x v="0"/>
    <x v="0"/>
  </r>
  <r>
    <x v="1"/>
    <x v="0"/>
    <x v="0"/>
    <x v="0"/>
    <x v="0"/>
    <x v="1"/>
    <x v="0"/>
  </r>
  <r>
    <x v="2"/>
    <x v="0"/>
    <x v="0"/>
    <x v="0"/>
    <x v="0"/>
    <x v="2"/>
    <x v="0"/>
  </r>
  <r>
    <x v="3"/>
    <x v="0"/>
    <x v="0"/>
    <x v="0"/>
    <x v="0"/>
    <x v="3"/>
    <x v="0"/>
  </r>
  <r>
    <x v="4"/>
    <x v="0"/>
    <x v="0"/>
    <x v="0"/>
    <x v="0"/>
    <x v="4"/>
    <x v="0"/>
  </r>
  <r>
    <x v="5"/>
    <x v="0"/>
    <x v="0"/>
    <x v="0"/>
    <x v="0"/>
    <x v="5"/>
    <x v="0"/>
  </r>
  <r>
    <x v="6"/>
    <x v="0"/>
    <x v="0"/>
    <x v="0"/>
    <x v="0"/>
    <x v="6"/>
    <x v="0"/>
  </r>
  <r>
    <x v="7"/>
    <x v="0"/>
    <x v="0"/>
    <x v="0"/>
    <x v="0"/>
    <x v="7"/>
    <x v="0"/>
  </r>
  <r>
    <x v="8"/>
    <x v="0"/>
    <x v="0"/>
    <x v="0"/>
    <x v="0"/>
    <x v="8"/>
    <x v="0"/>
  </r>
  <r>
    <x v="9"/>
    <x v="0"/>
    <x v="0"/>
    <x v="0"/>
    <x v="0"/>
    <x v="9"/>
    <x v="0"/>
  </r>
  <r>
    <x v="10"/>
    <x v="0"/>
    <x v="0"/>
    <x v="0"/>
    <x v="0"/>
    <x v="10"/>
    <x v="0"/>
  </r>
  <r>
    <x v="11"/>
    <x v="0"/>
    <x v="0"/>
    <x v="0"/>
    <x v="0"/>
    <x v="11"/>
    <x v="0"/>
  </r>
  <r>
    <x v="12"/>
    <x v="1"/>
    <x v="0"/>
    <x v="0"/>
    <x v="0"/>
    <x v="12"/>
    <x v="0"/>
  </r>
  <r>
    <x v="13"/>
    <x v="1"/>
    <x v="0"/>
    <x v="0"/>
    <x v="0"/>
    <x v="13"/>
    <x v="0"/>
  </r>
  <r>
    <x v="14"/>
    <x v="1"/>
    <x v="0"/>
    <x v="0"/>
    <x v="0"/>
    <x v="14"/>
    <x v="0"/>
  </r>
  <r>
    <x v="15"/>
    <x v="1"/>
    <x v="0"/>
    <x v="0"/>
    <x v="0"/>
    <x v="15"/>
    <x v="0"/>
  </r>
  <r>
    <x v="16"/>
    <x v="1"/>
    <x v="0"/>
    <x v="0"/>
    <x v="0"/>
    <x v="16"/>
    <x v="0"/>
  </r>
  <r>
    <x v="17"/>
    <x v="1"/>
    <x v="0"/>
    <x v="0"/>
    <x v="0"/>
    <x v="17"/>
    <x v="0"/>
  </r>
  <r>
    <x v="18"/>
    <x v="1"/>
    <x v="0"/>
    <x v="0"/>
    <x v="0"/>
    <x v="18"/>
    <x v="0"/>
  </r>
  <r>
    <x v="19"/>
    <x v="1"/>
    <x v="0"/>
    <x v="0"/>
    <x v="0"/>
    <x v="19"/>
    <x v="0"/>
  </r>
  <r>
    <x v="20"/>
    <x v="1"/>
    <x v="0"/>
    <x v="0"/>
    <x v="0"/>
    <x v="20"/>
    <x v="0"/>
  </r>
  <r>
    <x v="21"/>
    <x v="1"/>
    <x v="0"/>
    <x v="0"/>
    <x v="0"/>
    <x v="21"/>
    <x v="0"/>
  </r>
  <r>
    <x v="22"/>
    <x v="1"/>
    <x v="0"/>
    <x v="0"/>
    <x v="0"/>
    <x v="22"/>
    <x v="0"/>
  </r>
  <r>
    <x v="23"/>
    <x v="1"/>
    <x v="0"/>
    <x v="0"/>
    <x v="0"/>
    <x v="23"/>
    <x v="0"/>
  </r>
  <r>
    <x v="24"/>
    <x v="2"/>
    <x v="0"/>
    <x v="0"/>
    <x v="0"/>
    <x v="24"/>
    <x v="0"/>
  </r>
  <r>
    <x v="25"/>
    <x v="2"/>
    <x v="0"/>
    <x v="0"/>
    <x v="0"/>
    <x v="25"/>
    <x v="0"/>
  </r>
  <r>
    <x v="26"/>
    <x v="2"/>
    <x v="0"/>
    <x v="0"/>
    <x v="0"/>
    <x v="19"/>
    <x v="0"/>
  </r>
  <r>
    <x v="27"/>
    <x v="2"/>
    <x v="0"/>
    <x v="0"/>
    <x v="0"/>
    <x v="25"/>
    <x v="0"/>
  </r>
  <r>
    <x v="28"/>
    <x v="2"/>
    <x v="0"/>
    <x v="0"/>
    <x v="0"/>
    <x v="26"/>
    <x v="0"/>
  </r>
  <r>
    <x v="29"/>
    <x v="2"/>
    <x v="0"/>
    <x v="0"/>
    <x v="0"/>
    <x v="15"/>
    <x v="0"/>
  </r>
  <r>
    <x v="30"/>
    <x v="2"/>
    <x v="0"/>
    <x v="0"/>
    <x v="0"/>
    <x v="27"/>
    <x v="0"/>
  </r>
  <r>
    <x v="31"/>
    <x v="2"/>
    <x v="0"/>
    <x v="0"/>
    <x v="0"/>
    <x v="28"/>
    <x v="0"/>
  </r>
  <r>
    <x v="32"/>
    <x v="2"/>
    <x v="0"/>
    <x v="0"/>
    <x v="0"/>
    <x v="29"/>
    <x v="0"/>
  </r>
  <r>
    <x v="33"/>
    <x v="2"/>
    <x v="0"/>
    <x v="0"/>
    <x v="0"/>
    <x v="8"/>
    <x v="0"/>
  </r>
  <r>
    <x v="34"/>
    <x v="2"/>
    <x v="0"/>
    <x v="0"/>
    <x v="0"/>
    <x v="30"/>
    <x v="0"/>
  </r>
  <r>
    <x v="35"/>
    <x v="2"/>
    <x v="0"/>
    <x v="0"/>
    <x v="0"/>
    <x v="31"/>
    <x v="0"/>
  </r>
  <r>
    <x v="36"/>
    <x v="3"/>
    <x v="0"/>
    <x v="0"/>
    <x v="0"/>
    <x v="32"/>
    <x v="0"/>
  </r>
  <r>
    <x v="37"/>
    <x v="3"/>
    <x v="0"/>
    <x v="0"/>
    <x v="0"/>
    <x v="33"/>
    <x v="0"/>
  </r>
  <r>
    <x v="38"/>
    <x v="3"/>
    <x v="0"/>
    <x v="0"/>
    <x v="0"/>
    <x v="34"/>
    <x v="0"/>
  </r>
  <r>
    <x v="39"/>
    <x v="3"/>
    <x v="0"/>
    <x v="0"/>
    <x v="0"/>
    <x v="35"/>
    <x v="0"/>
  </r>
  <r>
    <x v="40"/>
    <x v="3"/>
    <x v="0"/>
    <x v="0"/>
    <x v="0"/>
    <x v="36"/>
    <x v="0"/>
  </r>
  <r>
    <x v="41"/>
    <x v="3"/>
    <x v="0"/>
    <x v="0"/>
    <x v="0"/>
    <x v="37"/>
    <x v="0"/>
  </r>
  <r>
    <x v="42"/>
    <x v="3"/>
    <x v="0"/>
    <x v="0"/>
    <x v="0"/>
    <x v="38"/>
    <x v="0"/>
  </r>
  <r>
    <x v="43"/>
    <x v="3"/>
    <x v="0"/>
    <x v="0"/>
    <x v="0"/>
    <x v="39"/>
    <x v="0"/>
  </r>
  <r>
    <x v="44"/>
    <x v="3"/>
    <x v="0"/>
    <x v="0"/>
    <x v="0"/>
    <x v="40"/>
    <x v="0"/>
  </r>
  <r>
    <x v="45"/>
    <x v="3"/>
    <x v="0"/>
    <x v="0"/>
    <x v="0"/>
    <x v="41"/>
    <x v="0"/>
  </r>
  <r>
    <x v="46"/>
    <x v="3"/>
    <x v="0"/>
    <x v="0"/>
    <x v="0"/>
    <x v="42"/>
    <x v="0"/>
  </r>
  <r>
    <x v="47"/>
    <x v="3"/>
    <x v="0"/>
    <x v="0"/>
    <x v="0"/>
    <x v="43"/>
    <x v="0"/>
  </r>
  <r>
    <x v="48"/>
    <x v="4"/>
    <x v="0"/>
    <x v="0"/>
    <x v="0"/>
    <x v="44"/>
    <x v="0"/>
  </r>
  <r>
    <x v="49"/>
    <x v="4"/>
    <x v="0"/>
    <x v="0"/>
    <x v="0"/>
    <x v="45"/>
    <x v="0"/>
  </r>
  <r>
    <x v="50"/>
    <x v="4"/>
    <x v="0"/>
    <x v="0"/>
    <x v="0"/>
    <x v="46"/>
    <x v="0"/>
  </r>
  <r>
    <x v="51"/>
    <x v="4"/>
    <x v="0"/>
    <x v="0"/>
    <x v="0"/>
    <x v="47"/>
    <x v="0"/>
  </r>
  <r>
    <x v="52"/>
    <x v="4"/>
    <x v="0"/>
    <x v="0"/>
    <x v="0"/>
    <x v="48"/>
    <x v="0"/>
  </r>
  <r>
    <x v="53"/>
    <x v="4"/>
    <x v="0"/>
    <x v="0"/>
    <x v="0"/>
    <x v="49"/>
    <x v="0"/>
  </r>
  <r>
    <x v="54"/>
    <x v="4"/>
    <x v="0"/>
    <x v="0"/>
    <x v="0"/>
    <x v="50"/>
    <x v="0"/>
  </r>
  <r>
    <x v="55"/>
    <x v="4"/>
    <x v="0"/>
    <x v="0"/>
    <x v="0"/>
    <x v="47"/>
    <x v="0"/>
  </r>
  <r>
    <x v="56"/>
    <x v="4"/>
    <x v="0"/>
    <x v="0"/>
    <x v="0"/>
    <x v="51"/>
    <x v="0"/>
  </r>
  <r>
    <x v="57"/>
    <x v="4"/>
    <x v="0"/>
    <x v="0"/>
    <x v="0"/>
    <x v="52"/>
    <x v="0"/>
  </r>
  <r>
    <x v="58"/>
    <x v="4"/>
    <x v="0"/>
    <x v="0"/>
    <x v="0"/>
    <x v="53"/>
    <x v="0"/>
  </r>
  <r>
    <x v="59"/>
    <x v="4"/>
    <x v="0"/>
    <x v="0"/>
    <x v="0"/>
    <x v="54"/>
    <x v="0"/>
  </r>
  <r>
    <x v="60"/>
    <x v="5"/>
    <x v="0"/>
    <x v="0"/>
    <x v="0"/>
    <x v="55"/>
    <x v="0"/>
  </r>
  <r>
    <x v="61"/>
    <x v="5"/>
    <x v="0"/>
    <x v="0"/>
    <x v="0"/>
    <x v="56"/>
    <x v="0"/>
  </r>
  <r>
    <x v="62"/>
    <x v="5"/>
    <x v="0"/>
    <x v="0"/>
    <x v="0"/>
    <x v="57"/>
    <x v="0"/>
  </r>
  <r>
    <x v="63"/>
    <x v="5"/>
    <x v="0"/>
    <x v="0"/>
    <x v="0"/>
    <x v="58"/>
    <x v="0"/>
  </r>
  <r>
    <x v="64"/>
    <x v="5"/>
    <x v="0"/>
    <x v="0"/>
    <x v="0"/>
    <x v="36"/>
    <x v="0"/>
  </r>
  <r>
    <x v="65"/>
    <x v="5"/>
    <x v="0"/>
    <x v="0"/>
    <x v="0"/>
    <x v="59"/>
    <x v="0"/>
  </r>
  <r>
    <x v="66"/>
    <x v="5"/>
    <x v="0"/>
    <x v="0"/>
    <x v="0"/>
    <x v="60"/>
    <x v="0"/>
  </r>
  <r>
    <x v="67"/>
    <x v="5"/>
    <x v="0"/>
    <x v="0"/>
    <x v="0"/>
    <x v="61"/>
    <x v="0"/>
  </r>
  <r>
    <x v="68"/>
    <x v="5"/>
    <x v="0"/>
    <x v="0"/>
    <x v="0"/>
    <x v="62"/>
    <x v="0"/>
  </r>
  <r>
    <x v="69"/>
    <x v="5"/>
    <x v="0"/>
    <x v="0"/>
    <x v="0"/>
    <x v="63"/>
    <x v="0"/>
  </r>
  <r>
    <x v="70"/>
    <x v="5"/>
    <x v="0"/>
    <x v="0"/>
    <x v="0"/>
    <x v="17"/>
    <x v="0"/>
  </r>
  <r>
    <x v="71"/>
    <x v="5"/>
    <x v="0"/>
    <x v="0"/>
    <x v="0"/>
    <x v="26"/>
    <x v="0"/>
  </r>
  <r>
    <x v="72"/>
    <x v="6"/>
    <x v="0"/>
    <x v="0"/>
    <x v="0"/>
    <x v="64"/>
    <x v="0"/>
  </r>
  <r>
    <x v="73"/>
    <x v="6"/>
    <x v="0"/>
    <x v="0"/>
    <x v="0"/>
    <x v="65"/>
    <x v="0"/>
  </r>
  <r>
    <x v="74"/>
    <x v="6"/>
    <x v="0"/>
    <x v="0"/>
    <x v="0"/>
    <x v="66"/>
    <x v="0"/>
  </r>
  <r>
    <x v="75"/>
    <x v="6"/>
    <x v="0"/>
    <x v="0"/>
    <x v="0"/>
    <x v="67"/>
    <x v="0"/>
  </r>
  <r>
    <x v="76"/>
    <x v="6"/>
    <x v="0"/>
    <x v="0"/>
    <x v="0"/>
    <x v="12"/>
    <x v="0"/>
  </r>
  <r>
    <x v="77"/>
    <x v="6"/>
    <x v="0"/>
    <x v="0"/>
    <x v="0"/>
    <x v="68"/>
    <x v="0"/>
  </r>
  <r>
    <x v="78"/>
    <x v="6"/>
    <x v="0"/>
    <x v="0"/>
    <x v="0"/>
    <x v="12"/>
    <x v="0"/>
  </r>
  <r>
    <x v="79"/>
    <x v="6"/>
    <x v="0"/>
    <x v="0"/>
    <x v="0"/>
    <x v="69"/>
    <x v="0"/>
  </r>
  <r>
    <x v="80"/>
    <x v="6"/>
    <x v="0"/>
    <x v="0"/>
    <x v="0"/>
    <x v="13"/>
    <x v="0"/>
  </r>
  <r>
    <x v="81"/>
    <x v="6"/>
    <x v="0"/>
    <x v="0"/>
    <x v="0"/>
    <x v="65"/>
    <x v="0"/>
  </r>
  <r>
    <x v="82"/>
    <x v="6"/>
    <x v="0"/>
    <x v="0"/>
    <x v="0"/>
    <x v="65"/>
    <x v="0"/>
  </r>
  <r>
    <x v="83"/>
    <x v="6"/>
    <x v="0"/>
    <x v="0"/>
    <x v="0"/>
    <x v="70"/>
    <x v="0"/>
  </r>
  <r>
    <x v="84"/>
    <x v="7"/>
    <x v="0"/>
    <x v="0"/>
    <x v="0"/>
    <x v="18"/>
    <x v="0"/>
  </r>
  <r>
    <x v="85"/>
    <x v="7"/>
    <x v="0"/>
    <x v="0"/>
    <x v="0"/>
    <x v="71"/>
    <x v="0"/>
  </r>
  <r>
    <x v="86"/>
    <x v="7"/>
    <x v="0"/>
    <x v="0"/>
    <x v="0"/>
    <x v="12"/>
    <x v="0"/>
  </r>
  <r>
    <x v="87"/>
    <x v="7"/>
    <x v="0"/>
    <x v="0"/>
    <x v="0"/>
    <x v="72"/>
    <x v="0"/>
  </r>
  <r>
    <x v="88"/>
    <x v="7"/>
    <x v="0"/>
    <x v="0"/>
    <x v="0"/>
    <x v="73"/>
    <x v="0"/>
  </r>
  <r>
    <x v="89"/>
    <x v="7"/>
    <x v="0"/>
    <x v="0"/>
    <x v="0"/>
    <x v="74"/>
    <x v="0"/>
  </r>
  <r>
    <x v="90"/>
    <x v="7"/>
    <x v="0"/>
    <x v="0"/>
    <x v="0"/>
    <x v="75"/>
    <x v="0"/>
  </r>
  <r>
    <x v="91"/>
    <x v="7"/>
    <x v="0"/>
    <x v="0"/>
    <x v="0"/>
    <x v="76"/>
    <x v="0"/>
  </r>
  <r>
    <x v="92"/>
    <x v="7"/>
    <x v="0"/>
    <x v="0"/>
    <x v="0"/>
    <x v="3"/>
    <x v="0"/>
  </r>
  <r>
    <x v="93"/>
    <x v="7"/>
    <x v="0"/>
    <x v="0"/>
    <x v="0"/>
    <x v="77"/>
    <x v="0"/>
  </r>
  <r>
    <x v="94"/>
    <x v="7"/>
    <x v="0"/>
    <x v="0"/>
    <x v="0"/>
    <x v="63"/>
    <x v="0"/>
  </r>
  <r>
    <x v="95"/>
    <x v="7"/>
    <x v="0"/>
    <x v="0"/>
    <x v="0"/>
    <x v="78"/>
    <x v="0"/>
  </r>
  <r>
    <x v="96"/>
    <x v="8"/>
    <x v="0"/>
    <x v="0"/>
    <x v="0"/>
    <x v="79"/>
    <x v="0"/>
  </r>
  <r>
    <x v="97"/>
    <x v="8"/>
    <x v="0"/>
    <x v="0"/>
    <x v="0"/>
    <x v="80"/>
    <x v="0"/>
  </r>
  <r>
    <x v="98"/>
    <x v="8"/>
    <x v="0"/>
    <x v="0"/>
    <x v="0"/>
    <x v="81"/>
    <x v="0"/>
  </r>
  <r>
    <x v="99"/>
    <x v="8"/>
    <x v="0"/>
    <x v="0"/>
    <x v="0"/>
    <x v="8"/>
    <x v="0"/>
  </r>
  <r>
    <x v="100"/>
    <x v="8"/>
    <x v="0"/>
    <x v="0"/>
    <x v="0"/>
    <x v="82"/>
    <x v="0"/>
  </r>
  <r>
    <x v="101"/>
    <x v="8"/>
    <x v="0"/>
    <x v="0"/>
    <x v="0"/>
    <x v="9"/>
    <x v="0"/>
  </r>
  <r>
    <x v="102"/>
    <x v="8"/>
    <x v="0"/>
    <x v="0"/>
    <x v="0"/>
    <x v="83"/>
    <x v="0"/>
  </r>
  <r>
    <x v="103"/>
    <x v="8"/>
    <x v="0"/>
    <x v="0"/>
    <x v="0"/>
    <x v="84"/>
    <x v="0"/>
  </r>
  <r>
    <x v="104"/>
    <x v="8"/>
    <x v="0"/>
    <x v="0"/>
    <x v="0"/>
    <x v="85"/>
    <x v="0"/>
  </r>
  <r>
    <x v="105"/>
    <x v="8"/>
    <x v="0"/>
    <x v="0"/>
    <x v="0"/>
    <x v="86"/>
    <x v="0"/>
  </r>
  <r>
    <x v="106"/>
    <x v="8"/>
    <x v="0"/>
    <x v="0"/>
    <x v="0"/>
    <x v="87"/>
    <x v="0"/>
  </r>
  <r>
    <x v="107"/>
    <x v="8"/>
    <x v="0"/>
    <x v="0"/>
    <x v="0"/>
    <x v="88"/>
    <x v="0"/>
  </r>
  <r>
    <x v="108"/>
    <x v="9"/>
    <x v="0"/>
    <x v="0"/>
    <x v="0"/>
    <x v="89"/>
    <x v="0"/>
  </r>
  <r>
    <x v="109"/>
    <x v="9"/>
    <x v="0"/>
    <x v="0"/>
    <x v="0"/>
    <x v="90"/>
    <x v="0"/>
  </r>
  <r>
    <x v="110"/>
    <x v="9"/>
    <x v="0"/>
    <x v="0"/>
    <x v="0"/>
    <x v="91"/>
    <x v="0"/>
  </r>
  <r>
    <x v="111"/>
    <x v="9"/>
    <x v="0"/>
    <x v="0"/>
    <x v="0"/>
    <x v="92"/>
    <x v="0"/>
  </r>
  <r>
    <x v="112"/>
    <x v="9"/>
    <x v="0"/>
    <x v="0"/>
    <x v="0"/>
    <x v="91"/>
    <x v="0"/>
  </r>
  <r>
    <x v="113"/>
    <x v="9"/>
    <x v="0"/>
    <x v="0"/>
    <x v="0"/>
    <x v="93"/>
    <x v="0"/>
  </r>
  <r>
    <x v="114"/>
    <x v="9"/>
    <x v="0"/>
    <x v="0"/>
    <x v="0"/>
    <x v="94"/>
    <x v="0"/>
  </r>
  <r>
    <x v="115"/>
    <x v="9"/>
    <x v="0"/>
    <x v="0"/>
    <x v="0"/>
    <x v="95"/>
    <x v="0"/>
  </r>
  <r>
    <x v="116"/>
    <x v="9"/>
    <x v="0"/>
    <x v="0"/>
    <x v="0"/>
    <x v="96"/>
    <x v="0"/>
  </r>
  <r>
    <x v="117"/>
    <x v="9"/>
    <x v="0"/>
    <x v="0"/>
    <x v="0"/>
    <x v="97"/>
    <x v="0"/>
  </r>
  <r>
    <x v="118"/>
    <x v="9"/>
    <x v="0"/>
    <x v="0"/>
    <x v="0"/>
    <x v="98"/>
    <x v="0"/>
  </r>
  <r>
    <x v="119"/>
    <x v="9"/>
    <x v="0"/>
    <x v="0"/>
    <x v="0"/>
    <x v="99"/>
    <x v="0"/>
  </r>
  <r>
    <x v="120"/>
    <x v="10"/>
    <x v="0"/>
    <x v="0"/>
    <x v="0"/>
    <x v="88"/>
    <x v="0"/>
  </r>
  <r>
    <x v="121"/>
    <x v="10"/>
    <x v="0"/>
    <x v="0"/>
    <x v="0"/>
    <x v="100"/>
    <x v="0"/>
  </r>
  <r>
    <x v="122"/>
    <x v="10"/>
    <x v="0"/>
    <x v="0"/>
    <x v="0"/>
    <x v="101"/>
    <x v="0"/>
  </r>
  <r>
    <x v="123"/>
    <x v="10"/>
    <x v="0"/>
    <x v="0"/>
    <x v="0"/>
    <x v="102"/>
    <x v="0"/>
  </r>
  <r>
    <x v="124"/>
    <x v="10"/>
    <x v="0"/>
    <x v="0"/>
    <x v="0"/>
    <x v="103"/>
    <x v="0"/>
  </r>
  <r>
    <x v="125"/>
    <x v="10"/>
    <x v="0"/>
    <x v="0"/>
    <x v="0"/>
    <x v="104"/>
    <x v="0"/>
  </r>
  <r>
    <x v="126"/>
    <x v="10"/>
    <x v="0"/>
    <x v="0"/>
    <x v="0"/>
    <x v="105"/>
    <x v="0"/>
  </r>
  <r>
    <x v="127"/>
    <x v="10"/>
    <x v="0"/>
    <x v="0"/>
    <x v="0"/>
    <x v="106"/>
    <x v="0"/>
  </r>
  <r>
    <x v="128"/>
    <x v="10"/>
    <x v="0"/>
    <x v="0"/>
    <x v="0"/>
    <x v="107"/>
    <x v="0"/>
  </r>
  <r>
    <x v="129"/>
    <x v="10"/>
    <x v="0"/>
    <x v="0"/>
    <x v="0"/>
    <x v="108"/>
    <x v="0"/>
  </r>
  <r>
    <x v="130"/>
    <x v="10"/>
    <x v="0"/>
    <x v="0"/>
    <x v="0"/>
    <x v="109"/>
    <x v="0"/>
  </r>
  <r>
    <x v="131"/>
    <x v="10"/>
    <x v="0"/>
    <x v="0"/>
    <x v="0"/>
    <x v="110"/>
    <x v="0"/>
  </r>
  <r>
    <x v="132"/>
    <x v="11"/>
    <x v="0"/>
    <x v="0"/>
    <x v="0"/>
    <x v="111"/>
    <x v="0"/>
  </r>
  <r>
    <x v="133"/>
    <x v="11"/>
    <x v="0"/>
    <x v="0"/>
    <x v="0"/>
    <x v="112"/>
    <x v="0"/>
  </r>
  <r>
    <x v="134"/>
    <x v="11"/>
    <x v="0"/>
    <x v="0"/>
    <x v="0"/>
    <x v="113"/>
    <x v="0"/>
  </r>
  <r>
    <x v="135"/>
    <x v="11"/>
    <x v="0"/>
    <x v="0"/>
    <x v="0"/>
    <x v="114"/>
    <x v="0"/>
  </r>
  <r>
    <x v="136"/>
    <x v="11"/>
    <x v="0"/>
    <x v="0"/>
    <x v="0"/>
    <x v="115"/>
    <x v="0"/>
  </r>
  <r>
    <x v="137"/>
    <x v="11"/>
    <x v="0"/>
    <x v="0"/>
    <x v="0"/>
    <x v="116"/>
    <x v="0"/>
  </r>
  <r>
    <x v="138"/>
    <x v="11"/>
    <x v="0"/>
    <x v="0"/>
    <x v="0"/>
    <x v="103"/>
    <x v="0"/>
  </r>
  <r>
    <x v="139"/>
    <x v="11"/>
    <x v="0"/>
    <x v="0"/>
    <x v="0"/>
    <x v="110"/>
    <x v="0"/>
  </r>
  <r>
    <x v="140"/>
    <x v="11"/>
    <x v="0"/>
    <x v="0"/>
    <x v="0"/>
    <x v="88"/>
    <x v="0"/>
  </r>
  <r>
    <x v="141"/>
    <x v="11"/>
    <x v="0"/>
    <x v="0"/>
    <x v="0"/>
    <x v="102"/>
    <x v="0"/>
  </r>
  <r>
    <x v="142"/>
    <x v="11"/>
    <x v="0"/>
    <x v="0"/>
    <x v="0"/>
    <x v="117"/>
    <x v="0"/>
  </r>
  <r>
    <x v="143"/>
    <x v="11"/>
    <x v="0"/>
    <x v="0"/>
    <x v="0"/>
    <x v="118"/>
    <x v="0"/>
  </r>
  <r>
    <x v="144"/>
    <x v="12"/>
    <x v="0"/>
    <x v="0"/>
    <x v="0"/>
    <x v="119"/>
    <x v="0"/>
  </r>
  <r>
    <x v="145"/>
    <x v="12"/>
    <x v="0"/>
    <x v="0"/>
    <x v="0"/>
    <x v="120"/>
    <x v="0"/>
  </r>
  <r>
    <x v="146"/>
    <x v="12"/>
    <x v="0"/>
    <x v="0"/>
    <x v="0"/>
    <x v="121"/>
    <x v="0"/>
  </r>
  <r>
    <x v="147"/>
    <x v="12"/>
    <x v="0"/>
    <x v="0"/>
    <x v="0"/>
    <x v="122"/>
    <x v="0"/>
  </r>
  <r>
    <x v="0"/>
    <x v="0"/>
    <x v="1"/>
    <x v="0"/>
    <x v="0"/>
    <x v="123"/>
    <x v="1"/>
  </r>
  <r>
    <x v="1"/>
    <x v="0"/>
    <x v="1"/>
    <x v="0"/>
    <x v="0"/>
    <x v="124"/>
    <x v="1"/>
  </r>
  <r>
    <x v="2"/>
    <x v="0"/>
    <x v="1"/>
    <x v="0"/>
    <x v="0"/>
    <x v="125"/>
    <x v="1"/>
  </r>
  <r>
    <x v="3"/>
    <x v="0"/>
    <x v="1"/>
    <x v="0"/>
    <x v="0"/>
    <x v="126"/>
    <x v="1"/>
  </r>
  <r>
    <x v="4"/>
    <x v="0"/>
    <x v="1"/>
    <x v="0"/>
    <x v="0"/>
    <x v="127"/>
    <x v="1"/>
  </r>
  <r>
    <x v="5"/>
    <x v="0"/>
    <x v="1"/>
    <x v="0"/>
    <x v="0"/>
    <x v="128"/>
    <x v="1"/>
  </r>
  <r>
    <x v="6"/>
    <x v="0"/>
    <x v="1"/>
    <x v="0"/>
    <x v="0"/>
    <x v="19"/>
    <x v="1"/>
  </r>
  <r>
    <x v="7"/>
    <x v="0"/>
    <x v="1"/>
    <x v="0"/>
    <x v="0"/>
    <x v="64"/>
    <x v="1"/>
  </r>
  <r>
    <x v="8"/>
    <x v="0"/>
    <x v="1"/>
    <x v="0"/>
    <x v="0"/>
    <x v="129"/>
    <x v="1"/>
  </r>
  <r>
    <x v="9"/>
    <x v="0"/>
    <x v="1"/>
    <x v="0"/>
    <x v="0"/>
    <x v="130"/>
    <x v="1"/>
  </r>
  <r>
    <x v="10"/>
    <x v="0"/>
    <x v="1"/>
    <x v="0"/>
    <x v="0"/>
    <x v="126"/>
    <x v="1"/>
  </r>
  <r>
    <x v="11"/>
    <x v="0"/>
    <x v="1"/>
    <x v="0"/>
    <x v="0"/>
    <x v="131"/>
    <x v="1"/>
  </r>
  <r>
    <x v="12"/>
    <x v="1"/>
    <x v="1"/>
    <x v="0"/>
    <x v="0"/>
    <x v="132"/>
    <x v="1"/>
  </r>
  <r>
    <x v="13"/>
    <x v="1"/>
    <x v="1"/>
    <x v="0"/>
    <x v="0"/>
    <x v="133"/>
    <x v="1"/>
  </r>
  <r>
    <x v="14"/>
    <x v="1"/>
    <x v="1"/>
    <x v="0"/>
    <x v="0"/>
    <x v="134"/>
    <x v="1"/>
  </r>
  <r>
    <x v="15"/>
    <x v="1"/>
    <x v="1"/>
    <x v="0"/>
    <x v="0"/>
    <x v="135"/>
    <x v="1"/>
  </r>
  <r>
    <x v="16"/>
    <x v="1"/>
    <x v="1"/>
    <x v="0"/>
    <x v="0"/>
    <x v="105"/>
    <x v="1"/>
  </r>
  <r>
    <x v="17"/>
    <x v="1"/>
    <x v="1"/>
    <x v="0"/>
    <x v="0"/>
    <x v="136"/>
    <x v="1"/>
  </r>
  <r>
    <x v="18"/>
    <x v="1"/>
    <x v="1"/>
    <x v="0"/>
    <x v="0"/>
    <x v="117"/>
    <x v="1"/>
  </r>
  <r>
    <x v="19"/>
    <x v="1"/>
    <x v="1"/>
    <x v="0"/>
    <x v="0"/>
    <x v="119"/>
    <x v="1"/>
  </r>
  <r>
    <x v="20"/>
    <x v="1"/>
    <x v="1"/>
    <x v="0"/>
    <x v="0"/>
    <x v="137"/>
    <x v="1"/>
  </r>
  <r>
    <x v="21"/>
    <x v="1"/>
    <x v="1"/>
    <x v="0"/>
    <x v="0"/>
    <x v="106"/>
    <x v="1"/>
  </r>
  <r>
    <x v="22"/>
    <x v="1"/>
    <x v="1"/>
    <x v="0"/>
    <x v="0"/>
    <x v="138"/>
    <x v="1"/>
  </r>
  <r>
    <x v="23"/>
    <x v="1"/>
    <x v="1"/>
    <x v="0"/>
    <x v="0"/>
    <x v="88"/>
    <x v="1"/>
  </r>
  <r>
    <x v="24"/>
    <x v="2"/>
    <x v="1"/>
    <x v="0"/>
    <x v="0"/>
    <x v="114"/>
    <x v="1"/>
  </r>
  <r>
    <x v="25"/>
    <x v="2"/>
    <x v="1"/>
    <x v="0"/>
    <x v="0"/>
    <x v="139"/>
    <x v="1"/>
  </r>
  <r>
    <x v="26"/>
    <x v="2"/>
    <x v="1"/>
    <x v="0"/>
    <x v="0"/>
    <x v="100"/>
    <x v="1"/>
  </r>
  <r>
    <x v="27"/>
    <x v="2"/>
    <x v="1"/>
    <x v="0"/>
    <x v="0"/>
    <x v="140"/>
    <x v="1"/>
  </r>
  <r>
    <x v="28"/>
    <x v="2"/>
    <x v="1"/>
    <x v="0"/>
    <x v="0"/>
    <x v="141"/>
    <x v="1"/>
  </r>
  <r>
    <x v="29"/>
    <x v="2"/>
    <x v="1"/>
    <x v="0"/>
    <x v="0"/>
    <x v="70"/>
    <x v="1"/>
  </r>
  <r>
    <x v="30"/>
    <x v="2"/>
    <x v="1"/>
    <x v="0"/>
    <x v="0"/>
    <x v="142"/>
    <x v="1"/>
  </r>
  <r>
    <x v="31"/>
    <x v="2"/>
    <x v="1"/>
    <x v="0"/>
    <x v="0"/>
    <x v="143"/>
    <x v="1"/>
  </r>
  <r>
    <x v="32"/>
    <x v="2"/>
    <x v="1"/>
    <x v="0"/>
    <x v="0"/>
    <x v="144"/>
    <x v="1"/>
  </r>
  <r>
    <x v="33"/>
    <x v="2"/>
    <x v="1"/>
    <x v="0"/>
    <x v="0"/>
    <x v="145"/>
    <x v="1"/>
  </r>
  <r>
    <x v="34"/>
    <x v="2"/>
    <x v="1"/>
    <x v="0"/>
    <x v="0"/>
    <x v="123"/>
    <x v="1"/>
  </r>
  <r>
    <x v="35"/>
    <x v="2"/>
    <x v="1"/>
    <x v="0"/>
    <x v="0"/>
    <x v="146"/>
    <x v="1"/>
  </r>
  <r>
    <x v="36"/>
    <x v="3"/>
    <x v="1"/>
    <x v="0"/>
    <x v="0"/>
    <x v="147"/>
    <x v="1"/>
  </r>
  <r>
    <x v="37"/>
    <x v="3"/>
    <x v="1"/>
    <x v="0"/>
    <x v="0"/>
    <x v="7"/>
    <x v="1"/>
  </r>
  <r>
    <x v="38"/>
    <x v="3"/>
    <x v="1"/>
    <x v="0"/>
    <x v="0"/>
    <x v="148"/>
    <x v="1"/>
  </r>
  <r>
    <x v="39"/>
    <x v="3"/>
    <x v="1"/>
    <x v="0"/>
    <x v="0"/>
    <x v="149"/>
    <x v="1"/>
  </r>
  <r>
    <x v="40"/>
    <x v="3"/>
    <x v="1"/>
    <x v="0"/>
    <x v="0"/>
    <x v="150"/>
    <x v="1"/>
  </r>
  <r>
    <x v="41"/>
    <x v="3"/>
    <x v="1"/>
    <x v="0"/>
    <x v="0"/>
    <x v="151"/>
    <x v="1"/>
  </r>
  <r>
    <x v="42"/>
    <x v="3"/>
    <x v="1"/>
    <x v="0"/>
    <x v="0"/>
    <x v="152"/>
    <x v="1"/>
  </r>
  <r>
    <x v="43"/>
    <x v="3"/>
    <x v="1"/>
    <x v="0"/>
    <x v="0"/>
    <x v="153"/>
    <x v="1"/>
  </r>
  <r>
    <x v="44"/>
    <x v="3"/>
    <x v="1"/>
    <x v="0"/>
    <x v="0"/>
    <x v="154"/>
    <x v="1"/>
  </r>
  <r>
    <x v="45"/>
    <x v="3"/>
    <x v="1"/>
    <x v="0"/>
    <x v="0"/>
    <x v="155"/>
    <x v="1"/>
  </r>
  <r>
    <x v="46"/>
    <x v="3"/>
    <x v="1"/>
    <x v="0"/>
    <x v="0"/>
    <x v="156"/>
    <x v="1"/>
  </r>
  <r>
    <x v="47"/>
    <x v="3"/>
    <x v="1"/>
    <x v="0"/>
    <x v="0"/>
    <x v="157"/>
    <x v="1"/>
  </r>
  <r>
    <x v="48"/>
    <x v="4"/>
    <x v="1"/>
    <x v="0"/>
    <x v="0"/>
    <x v="158"/>
    <x v="1"/>
  </r>
  <r>
    <x v="49"/>
    <x v="4"/>
    <x v="1"/>
    <x v="0"/>
    <x v="0"/>
    <x v="159"/>
    <x v="1"/>
  </r>
  <r>
    <x v="50"/>
    <x v="4"/>
    <x v="1"/>
    <x v="0"/>
    <x v="0"/>
    <x v="160"/>
    <x v="1"/>
  </r>
  <r>
    <x v="51"/>
    <x v="4"/>
    <x v="1"/>
    <x v="0"/>
    <x v="0"/>
    <x v="161"/>
    <x v="1"/>
  </r>
  <r>
    <x v="52"/>
    <x v="4"/>
    <x v="1"/>
    <x v="0"/>
    <x v="0"/>
    <x v="162"/>
    <x v="1"/>
  </r>
  <r>
    <x v="53"/>
    <x v="4"/>
    <x v="1"/>
    <x v="0"/>
    <x v="0"/>
    <x v="163"/>
    <x v="1"/>
  </r>
  <r>
    <x v="54"/>
    <x v="4"/>
    <x v="1"/>
    <x v="0"/>
    <x v="0"/>
    <x v="164"/>
    <x v="1"/>
  </r>
  <r>
    <x v="55"/>
    <x v="4"/>
    <x v="1"/>
    <x v="0"/>
    <x v="0"/>
    <x v="1"/>
    <x v="1"/>
  </r>
  <r>
    <x v="56"/>
    <x v="4"/>
    <x v="1"/>
    <x v="0"/>
    <x v="0"/>
    <x v="2"/>
    <x v="1"/>
  </r>
  <r>
    <x v="57"/>
    <x v="4"/>
    <x v="1"/>
    <x v="0"/>
    <x v="0"/>
    <x v="165"/>
    <x v="1"/>
  </r>
  <r>
    <x v="58"/>
    <x v="4"/>
    <x v="1"/>
    <x v="0"/>
    <x v="0"/>
    <x v="166"/>
    <x v="1"/>
  </r>
  <r>
    <x v="59"/>
    <x v="4"/>
    <x v="1"/>
    <x v="0"/>
    <x v="0"/>
    <x v="167"/>
    <x v="1"/>
  </r>
  <r>
    <x v="60"/>
    <x v="5"/>
    <x v="1"/>
    <x v="0"/>
    <x v="0"/>
    <x v="168"/>
    <x v="1"/>
  </r>
  <r>
    <x v="61"/>
    <x v="5"/>
    <x v="1"/>
    <x v="0"/>
    <x v="0"/>
    <x v="165"/>
    <x v="1"/>
  </r>
  <r>
    <x v="62"/>
    <x v="5"/>
    <x v="1"/>
    <x v="0"/>
    <x v="0"/>
    <x v="169"/>
    <x v="1"/>
  </r>
  <r>
    <x v="63"/>
    <x v="5"/>
    <x v="1"/>
    <x v="0"/>
    <x v="0"/>
    <x v="170"/>
    <x v="1"/>
  </r>
  <r>
    <x v="64"/>
    <x v="5"/>
    <x v="1"/>
    <x v="0"/>
    <x v="0"/>
    <x v="171"/>
    <x v="1"/>
  </r>
  <r>
    <x v="65"/>
    <x v="5"/>
    <x v="1"/>
    <x v="0"/>
    <x v="0"/>
    <x v="172"/>
    <x v="1"/>
  </r>
  <r>
    <x v="66"/>
    <x v="5"/>
    <x v="1"/>
    <x v="0"/>
    <x v="0"/>
    <x v="5"/>
    <x v="1"/>
  </r>
  <r>
    <x v="67"/>
    <x v="5"/>
    <x v="1"/>
    <x v="0"/>
    <x v="0"/>
    <x v="173"/>
    <x v="1"/>
  </r>
  <r>
    <x v="68"/>
    <x v="5"/>
    <x v="1"/>
    <x v="0"/>
    <x v="0"/>
    <x v="5"/>
    <x v="1"/>
  </r>
  <r>
    <x v="69"/>
    <x v="5"/>
    <x v="1"/>
    <x v="0"/>
    <x v="0"/>
    <x v="3"/>
    <x v="1"/>
  </r>
  <r>
    <x v="70"/>
    <x v="5"/>
    <x v="1"/>
    <x v="0"/>
    <x v="0"/>
    <x v="166"/>
    <x v="1"/>
  </r>
  <r>
    <x v="71"/>
    <x v="5"/>
    <x v="1"/>
    <x v="0"/>
    <x v="0"/>
    <x v="174"/>
    <x v="1"/>
  </r>
  <r>
    <x v="72"/>
    <x v="6"/>
    <x v="1"/>
    <x v="0"/>
    <x v="0"/>
    <x v="175"/>
    <x v="1"/>
  </r>
  <r>
    <x v="73"/>
    <x v="6"/>
    <x v="1"/>
    <x v="0"/>
    <x v="0"/>
    <x v="176"/>
    <x v="1"/>
  </r>
  <r>
    <x v="74"/>
    <x v="6"/>
    <x v="1"/>
    <x v="0"/>
    <x v="0"/>
    <x v="177"/>
    <x v="1"/>
  </r>
  <r>
    <x v="75"/>
    <x v="6"/>
    <x v="1"/>
    <x v="0"/>
    <x v="0"/>
    <x v="167"/>
    <x v="1"/>
  </r>
  <r>
    <x v="76"/>
    <x v="6"/>
    <x v="1"/>
    <x v="0"/>
    <x v="0"/>
    <x v="178"/>
    <x v="1"/>
  </r>
  <r>
    <x v="77"/>
    <x v="6"/>
    <x v="1"/>
    <x v="0"/>
    <x v="0"/>
    <x v="179"/>
    <x v="1"/>
  </r>
  <r>
    <x v="78"/>
    <x v="6"/>
    <x v="1"/>
    <x v="0"/>
    <x v="0"/>
    <x v="163"/>
    <x v="1"/>
  </r>
  <r>
    <x v="79"/>
    <x v="6"/>
    <x v="1"/>
    <x v="0"/>
    <x v="0"/>
    <x v="180"/>
    <x v="1"/>
  </r>
  <r>
    <x v="80"/>
    <x v="6"/>
    <x v="1"/>
    <x v="0"/>
    <x v="0"/>
    <x v="181"/>
    <x v="1"/>
  </r>
  <r>
    <x v="81"/>
    <x v="6"/>
    <x v="1"/>
    <x v="0"/>
    <x v="0"/>
    <x v="178"/>
    <x v="1"/>
  </r>
  <r>
    <x v="82"/>
    <x v="6"/>
    <x v="1"/>
    <x v="0"/>
    <x v="0"/>
    <x v="182"/>
    <x v="1"/>
  </r>
  <r>
    <x v="83"/>
    <x v="6"/>
    <x v="1"/>
    <x v="0"/>
    <x v="0"/>
    <x v="183"/>
    <x v="1"/>
  </r>
  <r>
    <x v="84"/>
    <x v="7"/>
    <x v="1"/>
    <x v="0"/>
    <x v="0"/>
    <x v="184"/>
    <x v="1"/>
  </r>
  <r>
    <x v="85"/>
    <x v="7"/>
    <x v="1"/>
    <x v="0"/>
    <x v="0"/>
    <x v="185"/>
    <x v="1"/>
  </r>
  <r>
    <x v="86"/>
    <x v="7"/>
    <x v="1"/>
    <x v="0"/>
    <x v="0"/>
    <x v="186"/>
    <x v="1"/>
  </r>
  <r>
    <x v="87"/>
    <x v="7"/>
    <x v="1"/>
    <x v="0"/>
    <x v="0"/>
    <x v="0"/>
    <x v="1"/>
  </r>
  <r>
    <x v="88"/>
    <x v="7"/>
    <x v="1"/>
    <x v="0"/>
    <x v="0"/>
    <x v="187"/>
    <x v="1"/>
  </r>
  <r>
    <x v="89"/>
    <x v="7"/>
    <x v="1"/>
    <x v="0"/>
    <x v="0"/>
    <x v="188"/>
    <x v="1"/>
  </r>
  <r>
    <x v="90"/>
    <x v="7"/>
    <x v="1"/>
    <x v="0"/>
    <x v="0"/>
    <x v="59"/>
    <x v="1"/>
  </r>
  <r>
    <x v="91"/>
    <x v="7"/>
    <x v="1"/>
    <x v="0"/>
    <x v="0"/>
    <x v="189"/>
    <x v="1"/>
  </r>
  <r>
    <x v="92"/>
    <x v="7"/>
    <x v="1"/>
    <x v="0"/>
    <x v="0"/>
    <x v="152"/>
    <x v="1"/>
  </r>
  <r>
    <x v="93"/>
    <x v="7"/>
    <x v="1"/>
    <x v="0"/>
    <x v="0"/>
    <x v="190"/>
    <x v="1"/>
  </r>
  <r>
    <x v="94"/>
    <x v="7"/>
    <x v="1"/>
    <x v="0"/>
    <x v="0"/>
    <x v="191"/>
    <x v="1"/>
  </r>
  <r>
    <x v="95"/>
    <x v="7"/>
    <x v="1"/>
    <x v="0"/>
    <x v="0"/>
    <x v="1"/>
    <x v="1"/>
  </r>
  <r>
    <x v="96"/>
    <x v="8"/>
    <x v="1"/>
    <x v="0"/>
    <x v="0"/>
    <x v="177"/>
    <x v="1"/>
  </r>
  <r>
    <x v="97"/>
    <x v="8"/>
    <x v="1"/>
    <x v="0"/>
    <x v="0"/>
    <x v="192"/>
    <x v="1"/>
  </r>
  <r>
    <x v="98"/>
    <x v="8"/>
    <x v="1"/>
    <x v="0"/>
    <x v="0"/>
    <x v="193"/>
    <x v="1"/>
  </r>
  <r>
    <x v="99"/>
    <x v="8"/>
    <x v="1"/>
    <x v="0"/>
    <x v="0"/>
    <x v="194"/>
    <x v="1"/>
  </r>
  <r>
    <x v="100"/>
    <x v="8"/>
    <x v="1"/>
    <x v="0"/>
    <x v="0"/>
    <x v="195"/>
    <x v="1"/>
  </r>
  <r>
    <x v="101"/>
    <x v="8"/>
    <x v="1"/>
    <x v="0"/>
    <x v="0"/>
    <x v="175"/>
    <x v="1"/>
  </r>
  <r>
    <x v="102"/>
    <x v="8"/>
    <x v="1"/>
    <x v="0"/>
    <x v="0"/>
    <x v="33"/>
    <x v="1"/>
  </r>
  <r>
    <x v="103"/>
    <x v="8"/>
    <x v="1"/>
    <x v="0"/>
    <x v="0"/>
    <x v="151"/>
    <x v="1"/>
  </r>
  <r>
    <x v="104"/>
    <x v="8"/>
    <x v="1"/>
    <x v="0"/>
    <x v="0"/>
    <x v="196"/>
    <x v="1"/>
  </r>
  <r>
    <x v="105"/>
    <x v="8"/>
    <x v="1"/>
    <x v="0"/>
    <x v="0"/>
    <x v="76"/>
    <x v="1"/>
  </r>
  <r>
    <x v="106"/>
    <x v="8"/>
    <x v="1"/>
    <x v="0"/>
    <x v="0"/>
    <x v="76"/>
    <x v="1"/>
  </r>
  <r>
    <x v="107"/>
    <x v="8"/>
    <x v="1"/>
    <x v="0"/>
    <x v="0"/>
    <x v="197"/>
    <x v="1"/>
  </r>
  <r>
    <x v="108"/>
    <x v="9"/>
    <x v="1"/>
    <x v="0"/>
    <x v="0"/>
    <x v="198"/>
    <x v="1"/>
  </r>
  <r>
    <x v="109"/>
    <x v="9"/>
    <x v="1"/>
    <x v="0"/>
    <x v="0"/>
    <x v="199"/>
    <x v="1"/>
  </r>
  <r>
    <x v="110"/>
    <x v="9"/>
    <x v="1"/>
    <x v="0"/>
    <x v="0"/>
    <x v="200"/>
    <x v="1"/>
  </r>
  <r>
    <x v="111"/>
    <x v="9"/>
    <x v="1"/>
    <x v="0"/>
    <x v="0"/>
    <x v="201"/>
    <x v="1"/>
  </r>
  <r>
    <x v="112"/>
    <x v="9"/>
    <x v="1"/>
    <x v="0"/>
    <x v="0"/>
    <x v="30"/>
    <x v="1"/>
  </r>
  <r>
    <x v="113"/>
    <x v="9"/>
    <x v="1"/>
    <x v="0"/>
    <x v="0"/>
    <x v="202"/>
    <x v="1"/>
  </r>
  <r>
    <x v="114"/>
    <x v="9"/>
    <x v="1"/>
    <x v="0"/>
    <x v="0"/>
    <x v="72"/>
    <x v="1"/>
  </r>
  <r>
    <x v="115"/>
    <x v="9"/>
    <x v="1"/>
    <x v="0"/>
    <x v="0"/>
    <x v="203"/>
    <x v="1"/>
  </r>
  <r>
    <x v="116"/>
    <x v="9"/>
    <x v="1"/>
    <x v="0"/>
    <x v="0"/>
    <x v="13"/>
    <x v="1"/>
  </r>
  <r>
    <x v="117"/>
    <x v="9"/>
    <x v="1"/>
    <x v="0"/>
    <x v="0"/>
    <x v="77"/>
    <x v="1"/>
  </r>
  <r>
    <x v="118"/>
    <x v="9"/>
    <x v="1"/>
    <x v="0"/>
    <x v="0"/>
    <x v="170"/>
    <x v="1"/>
  </r>
  <r>
    <x v="119"/>
    <x v="9"/>
    <x v="1"/>
    <x v="0"/>
    <x v="0"/>
    <x v="204"/>
    <x v="1"/>
  </r>
  <r>
    <x v="120"/>
    <x v="10"/>
    <x v="1"/>
    <x v="0"/>
    <x v="0"/>
    <x v="205"/>
    <x v="1"/>
  </r>
  <r>
    <x v="121"/>
    <x v="10"/>
    <x v="1"/>
    <x v="0"/>
    <x v="0"/>
    <x v="167"/>
    <x v="1"/>
  </r>
  <r>
    <x v="122"/>
    <x v="10"/>
    <x v="1"/>
    <x v="0"/>
    <x v="0"/>
    <x v="206"/>
    <x v="1"/>
  </r>
  <r>
    <x v="123"/>
    <x v="10"/>
    <x v="1"/>
    <x v="0"/>
    <x v="0"/>
    <x v="194"/>
    <x v="1"/>
  </r>
  <r>
    <x v="124"/>
    <x v="10"/>
    <x v="1"/>
    <x v="0"/>
    <x v="0"/>
    <x v="207"/>
    <x v="1"/>
  </r>
  <r>
    <x v="125"/>
    <x v="10"/>
    <x v="1"/>
    <x v="0"/>
    <x v="0"/>
    <x v="208"/>
    <x v="1"/>
  </r>
  <r>
    <x v="126"/>
    <x v="10"/>
    <x v="1"/>
    <x v="0"/>
    <x v="0"/>
    <x v="209"/>
    <x v="1"/>
  </r>
  <r>
    <x v="127"/>
    <x v="10"/>
    <x v="1"/>
    <x v="0"/>
    <x v="0"/>
    <x v="2"/>
    <x v="1"/>
  </r>
  <r>
    <x v="128"/>
    <x v="10"/>
    <x v="1"/>
    <x v="0"/>
    <x v="0"/>
    <x v="34"/>
    <x v="1"/>
  </r>
  <r>
    <x v="129"/>
    <x v="10"/>
    <x v="1"/>
    <x v="0"/>
    <x v="0"/>
    <x v="168"/>
    <x v="1"/>
  </r>
  <r>
    <x v="130"/>
    <x v="10"/>
    <x v="1"/>
    <x v="0"/>
    <x v="0"/>
    <x v="209"/>
    <x v="1"/>
  </r>
  <r>
    <x v="131"/>
    <x v="10"/>
    <x v="1"/>
    <x v="0"/>
    <x v="0"/>
    <x v="150"/>
    <x v="1"/>
  </r>
  <r>
    <x v="132"/>
    <x v="11"/>
    <x v="1"/>
    <x v="0"/>
    <x v="0"/>
    <x v="35"/>
    <x v="1"/>
  </r>
  <r>
    <x v="133"/>
    <x v="11"/>
    <x v="1"/>
    <x v="0"/>
    <x v="0"/>
    <x v="4"/>
    <x v="1"/>
  </r>
  <r>
    <x v="134"/>
    <x v="11"/>
    <x v="1"/>
    <x v="0"/>
    <x v="0"/>
    <x v="210"/>
    <x v="1"/>
  </r>
  <r>
    <x v="135"/>
    <x v="11"/>
    <x v="1"/>
    <x v="0"/>
    <x v="0"/>
    <x v="75"/>
    <x v="1"/>
  </r>
  <r>
    <x v="136"/>
    <x v="11"/>
    <x v="1"/>
    <x v="0"/>
    <x v="0"/>
    <x v="166"/>
    <x v="1"/>
  </r>
  <r>
    <x v="137"/>
    <x v="11"/>
    <x v="1"/>
    <x v="0"/>
    <x v="0"/>
    <x v="211"/>
    <x v="1"/>
  </r>
  <r>
    <x v="138"/>
    <x v="11"/>
    <x v="1"/>
    <x v="0"/>
    <x v="0"/>
    <x v="212"/>
    <x v="1"/>
  </r>
  <r>
    <x v="139"/>
    <x v="11"/>
    <x v="1"/>
    <x v="0"/>
    <x v="0"/>
    <x v="213"/>
    <x v="1"/>
  </r>
  <r>
    <x v="140"/>
    <x v="11"/>
    <x v="1"/>
    <x v="0"/>
    <x v="0"/>
    <x v="76"/>
    <x v="1"/>
  </r>
  <r>
    <x v="141"/>
    <x v="11"/>
    <x v="1"/>
    <x v="0"/>
    <x v="0"/>
    <x v="205"/>
    <x v="1"/>
  </r>
  <r>
    <x v="142"/>
    <x v="11"/>
    <x v="1"/>
    <x v="0"/>
    <x v="0"/>
    <x v="174"/>
    <x v="1"/>
  </r>
  <r>
    <x v="143"/>
    <x v="11"/>
    <x v="1"/>
    <x v="0"/>
    <x v="0"/>
    <x v="194"/>
    <x v="1"/>
  </r>
  <r>
    <x v="144"/>
    <x v="12"/>
    <x v="1"/>
    <x v="0"/>
    <x v="0"/>
    <x v="214"/>
    <x v="1"/>
  </r>
  <r>
    <x v="145"/>
    <x v="12"/>
    <x v="1"/>
    <x v="0"/>
    <x v="0"/>
    <x v="215"/>
    <x v="1"/>
  </r>
  <r>
    <x v="146"/>
    <x v="12"/>
    <x v="1"/>
    <x v="0"/>
    <x v="0"/>
    <x v="196"/>
    <x v="1"/>
  </r>
  <r>
    <x v="147"/>
    <x v="12"/>
    <x v="1"/>
    <x v="0"/>
    <x v="0"/>
    <x v="165"/>
    <x v="1"/>
  </r>
  <r>
    <x v="96"/>
    <x v="8"/>
    <x v="2"/>
    <x v="0"/>
    <x v="1"/>
    <x v="216"/>
    <x v="2"/>
  </r>
  <r>
    <x v="97"/>
    <x v="8"/>
    <x v="2"/>
    <x v="0"/>
    <x v="1"/>
    <x v="217"/>
    <x v="2"/>
  </r>
  <r>
    <x v="98"/>
    <x v="8"/>
    <x v="2"/>
    <x v="0"/>
    <x v="1"/>
    <x v="218"/>
    <x v="2"/>
  </r>
  <r>
    <x v="99"/>
    <x v="8"/>
    <x v="2"/>
    <x v="0"/>
    <x v="1"/>
    <x v="219"/>
    <x v="2"/>
  </r>
  <r>
    <x v="100"/>
    <x v="8"/>
    <x v="2"/>
    <x v="0"/>
    <x v="1"/>
    <x v="220"/>
    <x v="2"/>
  </r>
  <r>
    <x v="101"/>
    <x v="8"/>
    <x v="2"/>
    <x v="0"/>
    <x v="1"/>
    <x v="221"/>
    <x v="2"/>
  </r>
  <r>
    <x v="102"/>
    <x v="8"/>
    <x v="2"/>
    <x v="0"/>
    <x v="1"/>
    <x v="222"/>
    <x v="2"/>
  </r>
  <r>
    <x v="103"/>
    <x v="8"/>
    <x v="2"/>
    <x v="0"/>
    <x v="1"/>
    <x v="223"/>
    <x v="2"/>
  </r>
  <r>
    <x v="104"/>
    <x v="8"/>
    <x v="2"/>
    <x v="0"/>
    <x v="1"/>
    <x v="224"/>
    <x v="2"/>
  </r>
  <r>
    <x v="105"/>
    <x v="8"/>
    <x v="2"/>
    <x v="0"/>
    <x v="1"/>
    <x v="225"/>
    <x v="2"/>
  </r>
  <r>
    <x v="106"/>
    <x v="8"/>
    <x v="2"/>
    <x v="0"/>
    <x v="1"/>
    <x v="226"/>
    <x v="2"/>
  </r>
  <r>
    <x v="107"/>
    <x v="8"/>
    <x v="2"/>
    <x v="0"/>
    <x v="1"/>
    <x v="227"/>
    <x v="2"/>
  </r>
  <r>
    <x v="108"/>
    <x v="9"/>
    <x v="2"/>
    <x v="0"/>
    <x v="1"/>
    <x v="228"/>
    <x v="2"/>
  </r>
  <r>
    <x v="109"/>
    <x v="9"/>
    <x v="2"/>
    <x v="0"/>
    <x v="1"/>
    <x v="229"/>
    <x v="2"/>
  </r>
  <r>
    <x v="110"/>
    <x v="9"/>
    <x v="2"/>
    <x v="0"/>
    <x v="1"/>
    <x v="230"/>
    <x v="2"/>
  </r>
  <r>
    <x v="111"/>
    <x v="9"/>
    <x v="2"/>
    <x v="0"/>
    <x v="1"/>
    <x v="231"/>
    <x v="2"/>
  </r>
  <r>
    <x v="112"/>
    <x v="9"/>
    <x v="2"/>
    <x v="0"/>
    <x v="1"/>
    <x v="232"/>
    <x v="2"/>
  </r>
  <r>
    <x v="113"/>
    <x v="9"/>
    <x v="2"/>
    <x v="0"/>
    <x v="1"/>
    <x v="233"/>
    <x v="2"/>
  </r>
  <r>
    <x v="114"/>
    <x v="9"/>
    <x v="2"/>
    <x v="0"/>
    <x v="1"/>
    <x v="234"/>
    <x v="2"/>
  </r>
  <r>
    <x v="115"/>
    <x v="9"/>
    <x v="2"/>
    <x v="0"/>
    <x v="1"/>
    <x v="235"/>
    <x v="2"/>
  </r>
  <r>
    <x v="116"/>
    <x v="9"/>
    <x v="2"/>
    <x v="0"/>
    <x v="1"/>
    <x v="236"/>
    <x v="2"/>
  </r>
  <r>
    <x v="117"/>
    <x v="9"/>
    <x v="2"/>
    <x v="0"/>
    <x v="1"/>
    <x v="237"/>
    <x v="2"/>
  </r>
  <r>
    <x v="118"/>
    <x v="9"/>
    <x v="2"/>
    <x v="0"/>
    <x v="1"/>
    <x v="238"/>
    <x v="2"/>
  </r>
  <r>
    <x v="119"/>
    <x v="9"/>
    <x v="2"/>
    <x v="0"/>
    <x v="1"/>
    <x v="239"/>
    <x v="2"/>
  </r>
  <r>
    <x v="120"/>
    <x v="10"/>
    <x v="2"/>
    <x v="0"/>
    <x v="1"/>
    <x v="240"/>
    <x v="2"/>
  </r>
  <r>
    <x v="121"/>
    <x v="10"/>
    <x v="2"/>
    <x v="0"/>
    <x v="1"/>
    <x v="241"/>
    <x v="2"/>
  </r>
  <r>
    <x v="122"/>
    <x v="10"/>
    <x v="2"/>
    <x v="0"/>
    <x v="1"/>
    <x v="242"/>
    <x v="2"/>
  </r>
  <r>
    <x v="123"/>
    <x v="10"/>
    <x v="2"/>
    <x v="0"/>
    <x v="1"/>
    <x v="243"/>
    <x v="2"/>
  </r>
  <r>
    <x v="124"/>
    <x v="10"/>
    <x v="2"/>
    <x v="0"/>
    <x v="1"/>
    <x v="244"/>
    <x v="2"/>
  </r>
  <r>
    <x v="125"/>
    <x v="10"/>
    <x v="2"/>
    <x v="0"/>
    <x v="1"/>
    <x v="245"/>
    <x v="2"/>
  </r>
  <r>
    <x v="126"/>
    <x v="10"/>
    <x v="2"/>
    <x v="0"/>
    <x v="1"/>
    <x v="246"/>
    <x v="2"/>
  </r>
  <r>
    <x v="127"/>
    <x v="10"/>
    <x v="2"/>
    <x v="0"/>
    <x v="1"/>
    <x v="247"/>
    <x v="2"/>
  </r>
  <r>
    <x v="128"/>
    <x v="10"/>
    <x v="2"/>
    <x v="0"/>
    <x v="1"/>
    <x v="248"/>
    <x v="2"/>
  </r>
  <r>
    <x v="129"/>
    <x v="10"/>
    <x v="2"/>
    <x v="0"/>
    <x v="1"/>
    <x v="249"/>
    <x v="2"/>
  </r>
  <r>
    <x v="130"/>
    <x v="10"/>
    <x v="2"/>
    <x v="0"/>
    <x v="1"/>
    <x v="250"/>
    <x v="2"/>
  </r>
  <r>
    <x v="131"/>
    <x v="10"/>
    <x v="2"/>
    <x v="0"/>
    <x v="1"/>
    <x v="251"/>
    <x v="2"/>
  </r>
  <r>
    <x v="132"/>
    <x v="11"/>
    <x v="2"/>
    <x v="0"/>
    <x v="1"/>
    <x v="252"/>
    <x v="2"/>
  </r>
  <r>
    <x v="133"/>
    <x v="11"/>
    <x v="2"/>
    <x v="0"/>
    <x v="1"/>
    <x v="253"/>
    <x v="2"/>
  </r>
  <r>
    <x v="134"/>
    <x v="11"/>
    <x v="2"/>
    <x v="0"/>
    <x v="1"/>
    <x v="254"/>
    <x v="2"/>
  </r>
  <r>
    <x v="135"/>
    <x v="11"/>
    <x v="2"/>
    <x v="0"/>
    <x v="1"/>
    <x v="255"/>
    <x v="2"/>
  </r>
  <r>
    <x v="136"/>
    <x v="11"/>
    <x v="2"/>
    <x v="0"/>
    <x v="1"/>
    <x v="256"/>
    <x v="2"/>
  </r>
  <r>
    <x v="137"/>
    <x v="11"/>
    <x v="2"/>
    <x v="0"/>
    <x v="1"/>
    <x v="257"/>
    <x v="2"/>
  </r>
  <r>
    <x v="138"/>
    <x v="11"/>
    <x v="2"/>
    <x v="0"/>
    <x v="1"/>
    <x v="258"/>
    <x v="2"/>
  </r>
  <r>
    <x v="139"/>
    <x v="11"/>
    <x v="2"/>
    <x v="0"/>
    <x v="1"/>
    <x v="259"/>
    <x v="2"/>
  </r>
  <r>
    <x v="140"/>
    <x v="11"/>
    <x v="2"/>
    <x v="0"/>
    <x v="1"/>
    <x v="260"/>
    <x v="2"/>
  </r>
  <r>
    <x v="141"/>
    <x v="11"/>
    <x v="2"/>
    <x v="0"/>
    <x v="1"/>
    <x v="261"/>
    <x v="2"/>
  </r>
  <r>
    <x v="142"/>
    <x v="11"/>
    <x v="2"/>
    <x v="0"/>
    <x v="1"/>
    <x v="262"/>
    <x v="2"/>
  </r>
  <r>
    <x v="143"/>
    <x v="11"/>
    <x v="2"/>
    <x v="0"/>
    <x v="1"/>
    <x v="263"/>
    <x v="2"/>
  </r>
  <r>
    <x v="144"/>
    <x v="12"/>
    <x v="2"/>
    <x v="0"/>
    <x v="1"/>
    <x v="264"/>
    <x v="2"/>
  </r>
  <r>
    <x v="145"/>
    <x v="12"/>
    <x v="2"/>
    <x v="0"/>
    <x v="1"/>
    <x v="265"/>
    <x v="2"/>
  </r>
  <r>
    <x v="146"/>
    <x v="12"/>
    <x v="2"/>
    <x v="0"/>
    <x v="1"/>
    <x v="266"/>
    <x v="2"/>
  </r>
  <r>
    <x v="147"/>
    <x v="12"/>
    <x v="2"/>
    <x v="0"/>
    <x v="1"/>
    <x v="267"/>
    <x v="2"/>
  </r>
  <r>
    <x v="110"/>
    <x v="9"/>
    <x v="3"/>
    <x v="0"/>
    <x v="2"/>
    <x v="268"/>
    <x v="3"/>
  </r>
  <r>
    <x v="111"/>
    <x v="9"/>
    <x v="3"/>
    <x v="0"/>
    <x v="2"/>
    <x v="269"/>
    <x v="3"/>
  </r>
  <r>
    <x v="112"/>
    <x v="9"/>
    <x v="3"/>
    <x v="0"/>
    <x v="2"/>
    <x v="270"/>
    <x v="3"/>
  </r>
  <r>
    <x v="113"/>
    <x v="9"/>
    <x v="3"/>
    <x v="0"/>
    <x v="2"/>
    <x v="271"/>
    <x v="3"/>
  </r>
  <r>
    <x v="114"/>
    <x v="9"/>
    <x v="3"/>
    <x v="0"/>
    <x v="2"/>
    <x v="272"/>
    <x v="3"/>
  </r>
  <r>
    <x v="115"/>
    <x v="9"/>
    <x v="3"/>
    <x v="0"/>
    <x v="2"/>
    <x v="273"/>
    <x v="3"/>
  </r>
  <r>
    <x v="116"/>
    <x v="9"/>
    <x v="3"/>
    <x v="0"/>
    <x v="2"/>
    <x v="274"/>
    <x v="3"/>
  </r>
  <r>
    <x v="117"/>
    <x v="9"/>
    <x v="3"/>
    <x v="0"/>
    <x v="2"/>
    <x v="275"/>
    <x v="3"/>
  </r>
  <r>
    <x v="118"/>
    <x v="9"/>
    <x v="3"/>
    <x v="0"/>
    <x v="2"/>
    <x v="276"/>
    <x v="3"/>
  </r>
  <r>
    <x v="119"/>
    <x v="9"/>
    <x v="3"/>
    <x v="0"/>
    <x v="2"/>
    <x v="277"/>
    <x v="3"/>
  </r>
  <r>
    <x v="120"/>
    <x v="10"/>
    <x v="3"/>
    <x v="0"/>
    <x v="2"/>
    <x v="278"/>
    <x v="3"/>
  </r>
  <r>
    <x v="121"/>
    <x v="10"/>
    <x v="3"/>
    <x v="0"/>
    <x v="2"/>
    <x v="279"/>
    <x v="3"/>
  </r>
  <r>
    <x v="122"/>
    <x v="10"/>
    <x v="3"/>
    <x v="0"/>
    <x v="2"/>
    <x v="280"/>
    <x v="3"/>
  </r>
  <r>
    <x v="123"/>
    <x v="10"/>
    <x v="3"/>
    <x v="0"/>
    <x v="2"/>
    <x v="281"/>
    <x v="3"/>
  </r>
  <r>
    <x v="124"/>
    <x v="10"/>
    <x v="3"/>
    <x v="0"/>
    <x v="2"/>
    <x v="282"/>
    <x v="3"/>
  </r>
  <r>
    <x v="125"/>
    <x v="10"/>
    <x v="3"/>
    <x v="0"/>
    <x v="2"/>
    <x v="283"/>
    <x v="3"/>
  </r>
  <r>
    <x v="126"/>
    <x v="10"/>
    <x v="3"/>
    <x v="0"/>
    <x v="2"/>
    <x v="284"/>
    <x v="3"/>
  </r>
  <r>
    <x v="127"/>
    <x v="10"/>
    <x v="3"/>
    <x v="0"/>
    <x v="2"/>
    <x v="285"/>
    <x v="3"/>
  </r>
  <r>
    <x v="128"/>
    <x v="10"/>
    <x v="3"/>
    <x v="0"/>
    <x v="2"/>
    <x v="286"/>
    <x v="3"/>
  </r>
  <r>
    <x v="129"/>
    <x v="10"/>
    <x v="3"/>
    <x v="0"/>
    <x v="2"/>
    <x v="287"/>
    <x v="3"/>
  </r>
  <r>
    <x v="130"/>
    <x v="10"/>
    <x v="3"/>
    <x v="0"/>
    <x v="2"/>
    <x v="288"/>
    <x v="3"/>
  </r>
  <r>
    <x v="131"/>
    <x v="10"/>
    <x v="3"/>
    <x v="0"/>
    <x v="2"/>
    <x v="289"/>
    <x v="3"/>
  </r>
  <r>
    <x v="132"/>
    <x v="11"/>
    <x v="3"/>
    <x v="0"/>
    <x v="2"/>
    <x v="290"/>
    <x v="3"/>
  </r>
  <r>
    <x v="133"/>
    <x v="11"/>
    <x v="3"/>
    <x v="0"/>
    <x v="2"/>
    <x v="291"/>
    <x v="3"/>
  </r>
  <r>
    <x v="134"/>
    <x v="11"/>
    <x v="3"/>
    <x v="0"/>
    <x v="2"/>
    <x v="292"/>
    <x v="3"/>
  </r>
  <r>
    <x v="135"/>
    <x v="11"/>
    <x v="3"/>
    <x v="0"/>
    <x v="2"/>
    <x v="293"/>
    <x v="3"/>
  </r>
  <r>
    <x v="136"/>
    <x v="11"/>
    <x v="3"/>
    <x v="0"/>
    <x v="2"/>
    <x v="294"/>
    <x v="3"/>
  </r>
  <r>
    <x v="137"/>
    <x v="11"/>
    <x v="3"/>
    <x v="0"/>
    <x v="2"/>
    <x v="295"/>
    <x v="3"/>
  </r>
  <r>
    <x v="138"/>
    <x v="11"/>
    <x v="3"/>
    <x v="0"/>
    <x v="2"/>
    <x v="296"/>
    <x v="3"/>
  </r>
  <r>
    <x v="139"/>
    <x v="11"/>
    <x v="3"/>
    <x v="0"/>
    <x v="2"/>
    <x v="297"/>
    <x v="3"/>
  </r>
  <r>
    <x v="140"/>
    <x v="11"/>
    <x v="3"/>
    <x v="0"/>
    <x v="2"/>
    <x v="298"/>
    <x v="3"/>
  </r>
  <r>
    <x v="141"/>
    <x v="11"/>
    <x v="3"/>
    <x v="0"/>
    <x v="2"/>
    <x v="299"/>
    <x v="3"/>
  </r>
  <r>
    <x v="142"/>
    <x v="11"/>
    <x v="3"/>
    <x v="0"/>
    <x v="2"/>
    <x v="300"/>
    <x v="3"/>
  </r>
  <r>
    <x v="143"/>
    <x v="11"/>
    <x v="3"/>
    <x v="0"/>
    <x v="2"/>
    <x v="301"/>
    <x v="3"/>
  </r>
  <r>
    <x v="144"/>
    <x v="12"/>
    <x v="3"/>
    <x v="0"/>
    <x v="2"/>
    <x v="302"/>
    <x v="3"/>
  </r>
  <r>
    <x v="145"/>
    <x v="12"/>
    <x v="3"/>
    <x v="0"/>
    <x v="2"/>
    <x v="303"/>
    <x v="3"/>
  </r>
  <r>
    <x v="146"/>
    <x v="12"/>
    <x v="3"/>
    <x v="0"/>
    <x v="2"/>
    <x v="304"/>
    <x v="3"/>
  </r>
  <r>
    <x v="147"/>
    <x v="12"/>
    <x v="3"/>
    <x v="0"/>
    <x v="2"/>
    <x v="305"/>
    <x v="3"/>
  </r>
  <r>
    <x v="129"/>
    <x v="10"/>
    <x v="4"/>
    <x v="0"/>
    <x v="2"/>
    <x v="306"/>
    <x v="3"/>
  </r>
  <r>
    <x v="130"/>
    <x v="10"/>
    <x v="4"/>
    <x v="0"/>
    <x v="2"/>
    <x v="307"/>
    <x v="3"/>
  </r>
  <r>
    <x v="131"/>
    <x v="10"/>
    <x v="4"/>
    <x v="0"/>
    <x v="2"/>
    <x v="308"/>
    <x v="3"/>
  </r>
  <r>
    <x v="132"/>
    <x v="11"/>
    <x v="4"/>
    <x v="0"/>
    <x v="2"/>
    <x v="309"/>
    <x v="3"/>
  </r>
  <r>
    <x v="133"/>
    <x v="11"/>
    <x v="4"/>
    <x v="0"/>
    <x v="2"/>
    <x v="310"/>
    <x v="3"/>
  </r>
  <r>
    <x v="134"/>
    <x v="11"/>
    <x v="4"/>
    <x v="0"/>
    <x v="2"/>
    <x v="311"/>
    <x v="3"/>
  </r>
  <r>
    <x v="135"/>
    <x v="11"/>
    <x v="4"/>
    <x v="0"/>
    <x v="2"/>
    <x v="312"/>
    <x v="3"/>
  </r>
  <r>
    <x v="136"/>
    <x v="11"/>
    <x v="4"/>
    <x v="0"/>
    <x v="2"/>
    <x v="313"/>
    <x v="3"/>
  </r>
  <r>
    <x v="137"/>
    <x v="11"/>
    <x v="4"/>
    <x v="0"/>
    <x v="2"/>
    <x v="314"/>
    <x v="3"/>
  </r>
  <r>
    <x v="138"/>
    <x v="11"/>
    <x v="4"/>
    <x v="0"/>
    <x v="2"/>
    <x v="315"/>
    <x v="3"/>
  </r>
  <r>
    <x v="139"/>
    <x v="11"/>
    <x v="4"/>
    <x v="0"/>
    <x v="2"/>
    <x v="316"/>
    <x v="3"/>
  </r>
  <r>
    <x v="140"/>
    <x v="11"/>
    <x v="4"/>
    <x v="0"/>
    <x v="2"/>
    <x v="317"/>
    <x v="3"/>
  </r>
  <r>
    <x v="141"/>
    <x v="11"/>
    <x v="4"/>
    <x v="0"/>
    <x v="2"/>
    <x v="318"/>
    <x v="3"/>
  </r>
  <r>
    <x v="142"/>
    <x v="11"/>
    <x v="4"/>
    <x v="0"/>
    <x v="2"/>
    <x v="319"/>
    <x v="3"/>
  </r>
  <r>
    <x v="143"/>
    <x v="11"/>
    <x v="4"/>
    <x v="0"/>
    <x v="2"/>
    <x v="320"/>
    <x v="3"/>
  </r>
  <r>
    <x v="144"/>
    <x v="12"/>
    <x v="4"/>
    <x v="0"/>
    <x v="2"/>
    <x v="321"/>
    <x v="3"/>
  </r>
  <r>
    <x v="145"/>
    <x v="12"/>
    <x v="4"/>
    <x v="0"/>
    <x v="2"/>
    <x v="322"/>
    <x v="3"/>
  </r>
  <r>
    <x v="146"/>
    <x v="12"/>
    <x v="4"/>
    <x v="0"/>
    <x v="2"/>
    <x v="323"/>
    <x v="3"/>
  </r>
  <r>
    <x v="147"/>
    <x v="12"/>
    <x v="4"/>
    <x v="0"/>
    <x v="2"/>
    <x v="324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13">
  <r>
    <x v="0"/>
    <x v="0"/>
    <x v="0"/>
    <x v="0"/>
    <x v="0"/>
    <x v="0"/>
    <x v="0"/>
    <x v="0"/>
    <x v="0"/>
  </r>
  <r>
    <x v="1"/>
    <x v="0"/>
    <x v="0"/>
    <x v="0"/>
    <x v="0"/>
    <x v="1"/>
    <x v="0"/>
    <x v="0"/>
    <x v="0"/>
  </r>
  <r>
    <x v="2"/>
    <x v="0"/>
    <x v="0"/>
    <x v="0"/>
    <x v="0"/>
    <x v="2"/>
    <x v="0"/>
    <x v="0"/>
    <x v="0"/>
  </r>
  <r>
    <x v="3"/>
    <x v="0"/>
    <x v="0"/>
    <x v="0"/>
    <x v="0"/>
    <x v="3"/>
    <x v="0"/>
    <x v="0"/>
    <x v="0"/>
  </r>
  <r>
    <x v="4"/>
    <x v="0"/>
    <x v="0"/>
    <x v="0"/>
    <x v="0"/>
    <x v="4"/>
    <x v="0"/>
    <x v="0"/>
    <x v="0"/>
  </r>
  <r>
    <x v="5"/>
    <x v="0"/>
    <x v="0"/>
    <x v="1"/>
    <x v="0"/>
    <x v="0"/>
    <x v="1"/>
    <x v="0"/>
    <x v="0"/>
  </r>
  <r>
    <x v="6"/>
    <x v="0"/>
    <x v="0"/>
    <x v="1"/>
    <x v="0"/>
    <x v="5"/>
    <x v="1"/>
    <x v="0"/>
    <x v="0"/>
  </r>
  <r>
    <x v="0"/>
    <x v="0"/>
    <x v="0"/>
    <x v="1"/>
    <x v="0"/>
    <x v="6"/>
    <x v="1"/>
    <x v="0"/>
    <x v="0"/>
  </r>
  <r>
    <x v="1"/>
    <x v="0"/>
    <x v="0"/>
    <x v="1"/>
    <x v="0"/>
    <x v="7"/>
    <x v="1"/>
    <x v="0"/>
    <x v="0"/>
  </r>
  <r>
    <x v="2"/>
    <x v="0"/>
    <x v="0"/>
    <x v="1"/>
    <x v="0"/>
    <x v="8"/>
    <x v="1"/>
    <x v="0"/>
    <x v="0"/>
  </r>
  <r>
    <x v="3"/>
    <x v="0"/>
    <x v="0"/>
    <x v="1"/>
    <x v="0"/>
    <x v="9"/>
    <x v="1"/>
    <x v="0"/>
    <x v="0"/>
  </r>
  <r>
    <x v="4"/>
    <x v="0"/>
    <x v="0"/>
    <x v="1"/>
    <x v="0"/>
    <x v="10"/>
    <x v="1"/>
    <x v="0"/>
    <x v="0"/>
  </r>
  <r>
    <x v="7"/>
    <x v="0"/>
    <x v="0"/>
    <x v="2"/>
    <x v="0"/>
    <x v="0"/>
    <x v="2"/>
    <x v="1"/>
    <x v="0"/>
  </r>
  <r>
    <x v="8"/>
    <x v="0"/>
    <x v="0"/>
    <x v="2"/>
    <x v="0"/>
    <x v="11"/>
    <x v="2"/>
    <x v="1"/>
    <x v="0"/>
  </r>
  <r>
    <x v="5"/>
    <x v="0"/>
    <x v="0"/>
    <x v="2"/>
    <x v="0"/>
    <x v="12"/>
    <x v="2"/>
    <x v="1"/>
    <x v="0"/>
  </r>
  <r>
    <x v="6"/>
    <x v="0"/>
    <x v="0"/>
    <x v="2"/>
    <x v="0"/>
    <x v="13"/>
    <x v="2"/>
    <x v="1"/>
    <x v="0"/>
  </r>
  <r>
    <x v="0"/>
    <x v="0"/>
    <x v="0"/>
    <x v="2"/>
    <x v="0"/>
    <x v="14"/>
    <x v="2"/>
    <x v="1"/>
    <x v="0"/>
  </r>
  <r>
    <x v="1"/>
    <x v="0"/>
    <x v="0"/>
    <x v="2"/>
    <x v="0"/>
    <x v="15"/>
    <x v="2"/>
    <x v="1"/>
    <x v="0"/>
  </r>
  <r>
    <x v="2"/>
    <x v="0"/>
    <x v="0"/>
    <x v="2"/>
    <x v="0"/>
    <x v="16"/>
    <x v="2"/>
    <x v="1"/>
    <x v="0"/>
  </r>
  <r>
    <x v="3"/>
    <x v="0"/>
    <x v="0"/>
    <x v="2"/>
    <x v="0"/>
    <x v="17"/>
    <x v="2"/>
    <x v="1"/>
    <x v="0"/>
  </r>
  <r>
    <x v="4"/>
    <x v="0"/>
    <x v="0"/>
    <x v="2"/>
    <x v="0"/>
    <x v="18"/>
    <x v="2"/>
    <x v="1"/>
    <x v="0"/>
  </r>
  <r>
    <x v="9"/>
    <x v="0"/>
    <x v="0"/>
    <x v="3"/>
    <x v="1"/>
    <x v="0"/>
    <x v="3"/>
    <x v="1"/>
    <x v="0"/>
  </r>
  <r>
    <x v="10"/>
    <x v="0"/>
    <x v="0"/>
    <x v="3"/>
    <x v="1"/>
    <x v="19"/>
    <x v="3"/>
    <x v="1"/>
    <x v="0"/>
  </r>
  <r>
    <x v="11"/>
    <x v="0"/>
    <x v="0"/>
    <x v="3"/>
    <x v="1"/>
    <x v="20"/>
    <x v="3"/>
    <x v="1"/>
    <x v="0"/>
  </r>
  <r>
    <x v="7"/>
    <x v="0"/>
    <x v="0"/>
    <x v="3"/>
    <x v="1"/>
    <x v="21"/>
    <x v="3"/>
    <x v="1"/>
    <x v="0"/>
  </r>
  <r>
    <x v="8"/>
    <x v="0"/>
    <x v="0"/>
    <x v="3"/>
    <x v="1"/>
    <x v="22"/>
    <x v="3"/>
    <x v="1"/>
    <x v="0"/>
  </r>
  <r>
    <x v="5"/>
    <x v="0"/>
    <x v="0"/>
    <x v="3"/>
    <x v="1"/>
    <x v="23"/>
    <x v="3"/>
    <x v="1"/>
    <x v="0"/>
  </r>
  <r>
    <x v="6"/>
    <x v="0"/>
    <x v="0"/>
    <x v="3"/>
    <x v="1"/>
    <x v="24"/>
    <x v="3"/>
    <x v="1"/>
    <x v="0"/>
  </r>
  <r>
    <x v="0"/>
    <x v="0"/>
    <x v="0"/>
    <x v="3"/>
    <x v="1"/>
    <x v="25"/>
    <x v="3"/>
    <x v="1"/>
    <x v="0"/>
  </r>
  <r>
    <x v="1"/>
    <x v="0"/>
    <x v="0"/>
    <x v="3"/>
    <x v="1"/>
    <x v="26"/>
    <x v="3"/>
    <x v="1"/>
    <x v="0"/>
  </r>
  <r>
    <x v="2"/>
    <x v="0"/>
    <x v="0"/>
    <x v="3"/>
    <x v="1"/>
    <x v="27"/>
    <x v="3"/>
    <x v="1"/>
    <x v="0"/>
  </r>
  <r>
    <x v="3"/>
    <x v="0"/>
    <x v="0"/>
    <x v="3"/>
    <x v="1"/>
    <x v="28"/>
    <x v="3"/>
    <x v="1"/>
    <x v="0"/>
  </r>
  <r>
    <x v="4"/>
    <x v="0"/>
    <x v="0"/>
    <x v="3"/>
    <x v="1"/>
    <x v="29"/>
    <x v="3"/>
    <x v="1"/>
    <x v="0"/>
  </r>
  <r>
    <x v="12"/>
    <x v="0"/>
    <x v="0"/>
    <x v="4"/>
    <x v="1"/>
    <x v="0"/>
    <x v="4"/>
    <x v="2"/>
    <x v="0"/>
  </r>
  <r>
    <x v="13"/>
    <x v="0"/>
    <x v="0"/>
    <x v="4"/>
    <x v="1"/>
    <x v="30"/>
    <x v="4"/>
    <x v="2"/>
    <x v="0"/>
  </r>
  <r>
    <x v="14"/>
    <x v="0"/>
    <x v="0"/>
    <x v="4"/>
    <x v="1"/>
    <x v="31"/>
    <x v="4"/>
    <x v="2"/>
    <x v="0"/>
  </r>
  <r>
    <x v="15"/>
    <x v="0"/>
    <x v="0"/>
    <x v="4"/>
    <x v="1"/>
    <x v="32"/>
    <x v="4"/>
    <x v="2"/>
    <x v="0"/>
  </r>
  <r>
    <x v="9"/>
    <x v="0"/>
    <x v="0"/>
    <x v="4"/>
    <x v="1"/>
    <x v="33"/>
    <x v="4"/>
    <x v="2"/>
    <x v="0"/>
  </r>
  <r>
    <x v="10"/>
    <x v="0"/>
    <x v="0"/>
    <x v="4"/>
    <x v="1"/>
    <x v="34"/>
    <x v="4"/>
    <x v="2"/>
    <x v="0"/>
  </r>
  <r>
    <x v="11"/>
    <x v="0"/>
    <x v="0"/>
    <x v="4"/>
    <x v="1"/>
    <x v="35"/>
    <x v="4"/>
    <x v="2"/>
    <x v="0"/>
  </r>
  <r>
    <x v="7"/>
    <x v="0"/>
    <x v="0"/>
    <x v="4"/>
    <x v="1"/>
    <x v="36"/>
    <x v="4"/>
    <x v="2"/>
    <x v="0"/>
  </r>
  <r>
    <x v="8"/>
    <x v="0"/>
    <x v="0"/>
    <x v="4"/>
    <x v="1"/>
    <x v="37"/>
    <x v="4"/>
    <x v="2"/>
    <x v="0"/>
  </r>
  <r>
    <x v="5"/>
    <x v="0"/>
    <x v="0"/>
    <x v="4"/>
    <x v="1"/>
    <x v="38"/>
    <x v="4"/>
    <x v="2"/>
    <x v="0"/>
  </r>
  <r>
    <x v="6"/>
    <x v="0"/>
    <x v="0"/>
    <x v="4"/>
    <x v="1"/>
    <x v="39"/>
    <x v="4"/>
    <x v="2"/>
    <x v="0"/>
  </r>
  <r>
    <x v="0"/>
    <x v="0"/>
    <x v="0"/>
    <x v="4"/>
    <x v="1"/>
    <x v="40"/>
    <x v="4"/>
    <x v="2"/>
    <x v="0"/>
  </r>
  <r>
    <x v="1"/>
    <x v="0"/>
    <x v="0"/>
    <x v="4"/>
    <x v="1"/>
    <x v="41"/>
    <x v="4"/>
    <x v="2"/>
    <x v="0"/>
  </r>
  <r>
    <x v="2"/>
    <x v="0"/>
    <x v="0"/>
    <x v="4"/>
    <x v="1"/>
    <x v="42"/>
    <x v="4"/>
    <x v="2"/>
    <x v="0"/>
  </r>
  <r>
    <x v="3"/>
    <x v="0"/>
    <x v="0"/>
    <x v="4"/>
    <x v="1"/>
    <x v="43"/>
    <x v="4"/>
    <x v="2"/>
    <x v="0"/>
  </r>
  <r>
    <x v="4"/>
    <x v="0"/>
    <x v="0"/>
    <x v="4"/>
    <x v="1"/>
    <x v="44"/>
    <x v="4"/>
    <x v="2"/>
    <x v="0"/>
  </r>
  <r>
    <x v="2"/>
    <x v="0"/>
    <x v="1"/>
    <x v="1"/>
    <x v="0"/>
    <x v="0"/>
    <x v="5"/>
    <x v="0"/>
    <x v="1"/>
  </r>
  <r>
    <x v="3"/>
    <x v="0"/>
    <x v="1"/>
    <x v="1"/>
    <x v="0"/>
    <x v="45"/>
    <x v="5"/>
    <x v="0"/>
    <x v="1"/>
  </r>
  <r>
    <x v="4"/>
    <x v="0"/>
    <x v="1"/>
    <x v="1"/>
    <x v="0"/>
    <x v="46"/>
    <x v="5"/>
    <x v="0"/>
    <x v="1"/>
  </r>
  <r>
    <x v="4"/>
    <x v="0"/>
    <x v="1"/>
    <x v="5"/>
    <x v="0"/>
    <x v="47"/>
    <x v="6"/>
    <x v="0"/>
    <x v="1"/>
  </r>
  <r>
    <x v="2"/>
    <x v="0"/>
    <x v="2"/>
    <x v="4"/>
    <x v="1"/>
    <x v="0"/>
    <x v="5"/>
    <x v="2"/>
    <x v="2"/>
  </r>
  <r>
    <x v="3"/>
    <x v="0"/>
    <x v="2"/>
    <x v="4"/>
    <x v="1"/>
    <x v="48"/>
    <x v="5"/>
    <x v="2"/>
    <x v="2"/>
  </r>
  <r>
    <x v="4"/>
    <x v="0"/>
    <x v="2"/>
    <x v="4"/>
    <x v="1"/>
    <x v="49"/>
    <x v="5"/>
    <x v="2"/>
    <x v="2"/>
  </r>
  <r>
    <x v="4"/>
    <x v="0"/>
    <x v="3"/>
    <x v="4"/>
    <x v="1"/>
    <x v="50"/>
    <x v="6"/>
    <x v="2"/>
    <x v="3"/>
  </r>
  <r>
    <x v="0"/>
    <x v="1"/>
    <x v="4"/>
    <x v="0"/>
    <x v="0"/>
    <x v="0"/>
    <x v="0"/>
    <x v="0"/>
    <x v="4"/>
  </r>
  <r>
    <x v="1"/>
    <x v="1"/>
    <x v="4"/>
    <x v="0"/>
    <x v="0"/>
    <x v="51"/>
    <x v="0"/>
    <x v="0"/>
    <x v="4"/>
  </r>
  <r>
    <x v="2"/>
    <x v="1"/>
    <x v="4"/>
    <x v="0"/>
    <x v="0"/>
    <x v="52"/>
    <x v="0"/>
    <x v="0"/>
    <x v="4"/>
  </r>
  <r>
    <x v="3"/>
    <x v="1"/>
    <x v="4"/>
    <x v="0"/>
    <x v="0"/>
    <x v="53"/>
    <x v="0"/>
    <x v="0"/>
    <x v="4"/>
  </r>
  <r>
    <x v="4"/>
    <x v="1"/>
    <x v="4"/>
    <x v="0"/>
    <x v="0"/>
    <x v="54"/>
    <x v="0"/>
    <x v="0"/>
    <x v="4"/>
  </r>
  <r>
    <x v="5"/>
    <x v="1"/>
    <x v="4"/>
    <x v="1"/>
    <x v="0"/>
    <x v="0"/>
    <x v="1"/>
    <x v="0"/>
    <x v="4"/>
  </r>
  <r>
    <x v="6"/>
    <x v="1"/>
    <x v="4"/>
    <x v="1"/>
    <x v="0"/>
    <x v="55"/>
    <x v="1"/>
    <x v="0"/>
    <x v="4"/>
  </r>
  <r>
    <x v="0"/>
    <x v="1"/>
    <x v="4"/>
    <x v="1"/>
    <x v="0"/>
    <x v="56"/>
    <x v="1"/>
    <x v="0"/>
    <x v="4"/>
  </r>
  <r>
    <x v="1"/>
    <x v="1"/>
    <x v="4"/>
    <x v="1"/>
    <x v="0"/>
    <x v="57"/>
    <x v="1"/>
    <x v="0"/>
    <x v="4"/>
  </r>
  <r>
    <x v="2"/>
    <x v="1"/>
    <x v="4"/>
    <x v="1"/>
    <x v="0"/>
    <x v="58"/>
    <x v="1"/>
    <x v="0"/>
    <x v="4"/>
  </r>
  <r>
    <x v="3"/>
    <x v="1"/>
    <x v="4"/>
    <x v="1"/>
    <x v="0"/>
    <x v="59"/>
    <x v="1"/>
    <x v="0"/>
    <x v="4"/>
  </r>
  <r>
    <x v="4"/>
    <x v="1"/>
    <x v="4"/>
    <x v="1"/>
    <x v="0"/>
    <x v="60"/>
    <x v="1"/>
    <x v="0"/>
    <x v="4"/>
  </r>
  <r>
    <x v="7"/>
    <x v="1"/>
    <x v="4"/>
    <x v="2"/>
    <x v="0"/>
    <x v="0"/>
    <x v="2"/>
    <x v="1"/>
    <x v="4"/>
  </r>
  <r>
    <x v="8"/>
    <x v="1"/>
    <x v="4"/>
    <x v="2"/>
    <x v="0"/>
    <x v="61"/>
    <x v="2"/>
    <x v="1"/>
    <x v="4"/>
  </r>
  <r>
    <x v="5"/>
    <x v="1"/>
    <x v="4"/>
    <x v="2"/>
    <x v="0"/>
    <x v="62"/>
    <x v="2"/>
    <x v="1"/>
    <x v="4"/>
  </r>
  <r>
    <x v="6"/>
    <x v="1"/>
    <x v="4"/>
    <x v="2"/>
    <x v="0"/>
    <x v="63"/>
    <x v="2"/>
    <x v="1"/>
    <x v="4"/>
  </r>
  <r>
    <x v="0"/>
    <x v="1"/>
    <x v="4"/>
    <x v="2"/>
    <x v="0"/>
    <x v="64"/>
    <x v="2"/>
    <x v="1"/>
    <x v="4"/>
  </r>
  <r>
    <x v="1"/>
    <x v="1"/>
    <x v="4"/>
    <x v="2"/>
    <x v="0"/>
    <x v="65"/>
    <x v="2"/>
    <x v="1"/>
    <x v="4"/>
  </r>
  <r>
    <x v="2"/>
    <x v="1"/>
    <x v="4"/>
    <x v="2"/>
    <x v="0"/>
    <x v="66"/>
    <x v="2"/>
    <x v="1"/>
    <x v="4"/>
  </r>
  <r>
    <x v="3"/>
    <x v="1"/>
    <x v="4"/>
    <x v="2"/>
    <x v="0"/>
    <x v="67"/>
    <x v="2"/>
    <x v="1"/>
    <x v="4"/>
  </r>
  <r>
    <x v="4"/>
    <x v="1"/>
    <x v="4"/>
    <x v="2"/>
    <x v="0"/>
    <x v="68"/>
    <x v="2"/>
    <x v="1"/>
    <x v="4"/>
  </r>
  <r>
    <x v="9"/>
    <x v="1"/>
    <x v="4"/>
    <x v="6"/>
    <x v="1"/>
    <x v="0"/>
    <x v="3"/>
    <x v="1"/>
    <x v="4"/>
  </r>
  <r>
    <x v="10"/>
    <x v="1"/>
    <x v="4"/>
    <x v="6"/>
    <x v="1"/>
    <x v="69"/>
    <x v="3"/>
    <x v="1"/>
    <x v="4"/>
  </r>
  <r>
    <x v="11"/>
    <x v="1"/>
    <x v="4"/>
    <x v="6"/>
    <x v="1"/>
    <x v="70"/>
    <x v="3"/>
    <x v="1"/>
    <x v="4"/>
  </r>
  <r>
    <x v="7"/>
    <x v="1"/>
    <x v="4"/>
    <x v="6"/>
    <x v="1"/>
    <x v="71"/>
    <x v="3"/>
    <x v="1"/>
    <x v="4"/>
  </r>
  <r>
    <x v="8"/>
    <x v="1"/>
    <x v="4"/>
    <x v="6"/>
    <x v="1"/>
    <x v="72"/>
    <x v="3"/>
    <x v="1"/>
    <x v="4"/>
  </r>
  <r>
    <x v="5"/>
    <x v="1"/>
    <x v="4"/>
    <x v="6"/>
    <x v="1"/>
    <x v="73"/>
    <x v="3"/>
    <x v="1"/>
    <x v="4"/>
  </r>
  <r>
    <x v="6"/>
    <x v="1"/>
    <x v="4"/>
    <x v="6"/>
    <x v="1"/>
    <x v="74"/>
    <x v="3"/>
    <x v="1"/>
    <x v="4"/>
  </r>
  <r>
    <x v="0"/>
    <x v="1"/>
    <x v="4"/>
    <x v="6"/>
    <x v="1"/>
    <x v="75"/>
    <x v="3"/>
    <x v="1"/>
    <x v="4"/>
  </r>
  <r>
    <x v="1"/>
    <x v="1"/>
    <x v="4"/>
    <x v="6"/>
    <x v="1"/>
    <x v="76"/>
    <x v="3"/>
    <x v="1"/>
    <x v="4"/>
  </r>
  <r>
    <x v="2"/>
    <x v="1"/>
    <x v="4"/>
    <x v="6"/>
    <x v="1"/>
    <x v="77"/>
    <x v="3"/>
    <x v="1"/>
    <x v="4"/>
  </r>
  <r>
    <x v="3"/>
    <x v="1"/>
    <x v="4"/>
    <x v="6"/>
    <x v="1"/>
    <x v="78"/>
    <x v="3"/>
    <x v="1"/>
    <x v="4"/>
  </r>
  <r>
    <x v="4"/>
    <x v="1"/>
    <x v="4"/>
    <x v="6"/>
    <x v="1"/>
    <x v="79"/>
    <x v="3"/>
    <x v="1"/>
    <x v="4"/>
  </r>
  <r>
    <x v="2"/>
    <x v="1"/>
    <x v="1"/>
    <x v="5"/>
    <x v="0"/>
    <x v="0"/>
    <x v="5"/>
    <x v="0"/>
    <x v="1"/>
  </r>
  <r>
    <x v="3"/>
    <x v="1"/>
    <x v="1"/>
    <x v="5"/>
    <x v="0"/>
    <x v="80"/>
    <x v="5"/>
    <x v="0"/>
    <x v="1"/>
  </r>
  <r>
    <x v="4"/>
    <x v="1"/>
    <x v="1"/>
    <x v="5"/>
    <x v="0"/>
    <x v="81"/>
    <x v="5"/>
    <x v="0"/>
    <x v="1"/>
  </r>
  <r>
    <x v="1"/>
    <x v="2"/>
    <x v="1"/>
    <x v="2"/>
    <x v="0"/>
    <x v="0"/>
    <x v="7"/>
    <x v="1"/>
    <x v="1"/>
  </r>
  <r>
    <x v="2"/>
    <x v="2"/>
    <x v="1"/>
    <x v="2"/>
    <x v="0"/>
    <x v="82"/>
    <x v="7"/>
    <x v="1"/>
    <x v="1"/>
  </r>
  <r>
    <x v="3"/>
    <x v="2"/>
    <x v="1"/>
    <x v="2"/>
    <x v="0"/>
    <x v="83"/>
    <x v="7"/>
    <x v="1"/>
    <x v="1"/>
  </r>
  <r>
    <x v="4"/>
    <x v="2"/>
    <x v="1"/>
    <x v="2"/>
    <x v="0"/>
    <x v="84"/>
    <x v="7"/>
    <x v="1"/>
    <x v="1"/>
  </r>
  <r>
    <x v="5"/>
    <x v="2"/>
    <x v="1"/>
    <x v="7"/>
    <x v="0"/>
    <x v="0"/>
    <x v="1"/>
    <x v="1"/>
    <x v="1"/>
  </r>
  <r>
    <x v="6"/>
    <x v="2"/>
    <x v="1"/>
    <x v="7"/>
    <x v="0"/>
    <x v="85"/>
    <x v="1"/>
    <x v="1"/>
    <x v="1"/>
  </r>
  <r>
    <x v="0"/>
    <x v="2"/>
    <x v="1"/>
    <x v="7"/>
    <x v="0"/>
    <x v="86"/>
    <x v="1"/>
    <x v="1"/>
    <x v="1"/>
  </r>
  <r>
    <x v="1"/>
    <x v="2"/>
    <x v="1"/>
    <x v="7"/>
    <x v="0"/>
    <x v="87"/>
    <x v="1"/>
    <x v="1"/>
    <x v="1"/>
  </r>
  <r>
    <x v="2"/>
    <x v="2"/>
    <x v="1"/>
    <x v="7"/>
    <x v="0"/>
    <x v="88"/>
    <x v="1"/>
    <x v="1"/>
    <x v="1"/>
  </r>
  <r>
    <x v="3"/>
    <x v="2"/>
    <x v="1"/>
    <x v="7"/>
    <x v="0"/>
    <x v="89"/>
    <x v="1"/>
    <x v="1"/>
    <x v="1"/>
  </r>
  <r>
    <x v="4"/>
    <x v="2"/>
    <x v="1"/>
    <x v="7"/>
    <x v="0"/>
    <x v="90"/>
    <x v="1"/>
    <x v="1"/>
    <x v="1"/>
  </r>
  <r>
    <x v="9"/>
    <x v="2"/>
    <x v="1"/>
    <x v="6"/>
    <x v="1"/>
    <x v="0"/>
    <x v="3"/>
    <x v="1"/>
    <x v="1"/>
  </r>
  <r>
    <x v="10"/>
    <x v="2"/>
    <x v="1"/>
    <x v="6"/>
    <x v="1"/>
    <x v="91"/>
    <x v="3"/>
    <x v="1"/>
    <x v="1"/>
  </r>
  <r>
    <x v="11"/>
    <x v="2"/>
    <x v="1"/>
    <x v="6"/>
    <x v="1"/>
    <x v="92"/>
    <x v="3"/>
    <x v="1"/>
    <x v="1"/>
  </r>
  <r>
    <x v="7"/>
    <x v="2"/>
    <x v="1"/>
    <x v="6"/>
    <x v="1"/>
    <x v="93"/>
    <x v="3"/>
    <x v="1"/>
    <x v="1"/>
  </r>
  <r>
    <x v="8"/>
    <x v="2"/>
    <x v="1"/>
    <x v="6"/>
    <x v="1"/>
    <x v="94"/>
    <x v="3"/>
    <x v="1"/>
    <x v="1"/>
  </r>
  <r>
    <x v="5"/>
    <x v="2"/>
    <x v="1"/>
    <x v="6"/>
    <x v="1"/>
    <x v="95"/>
    <x v="3"/>
    <x v="1"/>
    <x v="1"/>
  </r>
  <r>
    <x v="6"/>
    <x v="2"/>
    <x v="1"/>
    <x v="6"/>
    <x v="1"/>
    <x v="96"/>
    <x v="3"/>
    <x v="1"/>
    <x v="1"/>
  </r>
  <r>
    <x v="0"/>
    <x v="2"/>
    <x v="1"/>
    <x v="6"/>
    <x v="1"/>
    <x v="97"/>
    <x v="3"/>
    <x v="1"/>
    <x v="1"/>
  </r>
  <r>
    <x v="1"/>
    <x v="2"/>
    <x v="1"/>
    <x v="6"/>
    <x v="1"/>
    <x v="98"/>
    <x v="3"/>
    <x v="1"/>
    <x v="1"/>
  </r>
  <r>
    <x v="2"/>
    <x v="2"/>
    <x v="1"/>
    <x v="6"/>
    <x v="1"/>
    <x v="99"/>
    <x v="3"/>
    <x v="1"/>
    <x v="1"/>
  </r>
  <r>
    <x v="3"/>
    <x v="2"/>
    <x v="1"/>
    <x v="6"/>
    <x v="1"/>
    <x v="100"/>
    <x v="3"/>
    <x v="1"/>
    <x v="1"/>
  </r>
  <r>
    <x v="4"/>
    <x v="2"/>
    <x v="1"/>
    <x v="6"/>
    <x v="1"/>
    <x v="101"/>
    <x v="3"/>
    <x v="1"/>
    <x v="1"/>
  </r>
  <r>
    <x v="13"/>
    <x v="2"/>
    <x v="1"/>
    <x v="8"/>
    <x v="1"/>
    <x v="0"/>
    <x v="8"/>
    <x v="2"/>
    <x v="1"/>
  </r>
  <r>
    <x v="14"/>
    <x v="2"/>
    <x v="1"/>
    <x v="8"/>
    <x v="1"/>
    <x v="102"/>
    <x v="8"/>
    <x v="2"/>
    <x v="1"/>
  </r>
  <r>
    <x v="15"/>
    <x v="2"/>
    <x v="1"/>
    <x v="8"/>
    <x v="1"/>
    <x v="103"/>
    <x v="8"/>
    <x v="2"/>
    <x v="1"/>
  </r>
  <r>
    <x v="9"/>
    <x v="2"/>
    <x v="1"/>
    <x v="8"/>
    <x v="1"/>
    <x v="104"/>
    <x v="8"/>
    <x v="2"/>
    <x v="1"/>
  </r>
  <r>
    <x v="10"/>
    <x v="2"/>
    <x v="1"/>
    <x v="8"/>
    <x v="1"/>
    <x v="105"/>
    <x v="8"/>
    <x v="2"/>
    <x v="1"/>
  </r>
  <r>
    <x v="11"/>
    <x v="2"/>
    <x v="1"/>
    <x v="8"/>
    <x v="1"/>
    <x v="106"/>
    <x v="8"/>
    <x v="2"/>
    <x v="1"/>
  </r>
  <r>
    <x v="7"/>
    <x v="2"/>
    <x v="1"/>
    <x v="8"/>
    <x v="1"/>
    <x v="107"/>
    <x v="8"/>
    <x v="2"/>
    <x v="1"/>
  </r>
  <r>
    <x v="8"/>
    <x v="2"/>
    <x v="1"/>
    <x v="8"/>
    <x v="1"/>
    <x v="108"/>
    <x v="8"/>
    <x v="2"/>
    <x v="1"/>
  </r>
  <r>
    <x v="5"/>
    <x v="2"/>
    <x v="1"/>
    <x v="8"/>
    <x v="1"/>
    <x v="109"/>
    <x v="8"/>
    <x v="2"/>
    <x v="1"/>
  </r>
  <r>
    <x v="6"/>
    <x v="2"/>
    <x v="1"/>
    <x v="8"/>
    <x v="1"/>
    <x v="110"/>
    <x v="8"/>
    <x v="2"/>
    <x v="1"/>
  </r>
  <r>
    <x v="0"/>
    <x v="2"/>
    <x v="1"/>
    <x v="8"/>
    <x v="1"/>
    <x v="111"/>
    <x v="8"/>
    <x v="2"/>
    <x v="1"/>
  </r>
  <r>
    <x v="1"/>
    <x v="2"/>
    <x v="1"/>
    <x v="8"/>
    <x v="1"/>
    <x v="112"/>
    <x v="8"/>
    <x v="2"/>
    <x v="1"/>
  </r>
  <r>
    <x v="2"/>
    <x v="2"/>
    <x v="1"/>
    <x v="8"/>
    <x v="1"/>
    <x v="113"/>
    <x v="8"/>
    <x v="2"/>
    <x v="1"/>
  </r>
  <r>
    <x v="3"/>
    <x v="2"/>
    <x v="1"/>
    <x v="8"/>
    <x v="1"/>
    <x v="114"/>
    <x v="8"/>
    <x v="2"/>
    <x v="1"/>
  </r>
  <r>
    <x v="4"/>
    <x v="2"/>
    <x v="1"/>
    <x v="8"/>
    <x v="1"/>
    <x v="115"/>
    <x v="8"/>
    <x v="2"/>
    <x v="1"/>
  </r>
  <r>
    <x v="2"/>
    <x v="2"/>
    <x v="5"/>
    <x v="2"/>
    <x v="0"/>
    <x v="0"/>
    <x v="5"/>
    <x v="1"/>
    <x v="5"/>
  </r>
  <r>
    <x v="3"/>
    <x v="2"/>
    <x v="5"/>
    <x v="2"/>
    <x v="0"/>
    <x v="116"/>
    <x v="5"/>
    <x v="1"/>
    <x v="5"/>
  </r>
  <r>
    <x v="4"/>
    <x v="2"/>
    <x v="5"/>
    <x v="2"/>
    <x v="0"/>
    <x v="117"/>
    <x v="5"/>
    <x v="1"/>
    <x v="5"/>
  </r>
  <r>
    <x v="4"/>
    <x v="2"/>
    <x v="3"/>
    <x v="2"/>
    <x v="0"/>
    <x v="118"/>
    <x v="6"/>
    <x v="1"/>
    <x v="3"/>
  </r>
  <r>
    <x v="5"/>
    <x v="3"/>
    <x v="6"/>
    <x v="6"/>
    <x v="1"/>
    <x v="0"/>
    <x v="1"/>
    <x v="1"/>
    <x v="6"/>
  </r>
  <r>
    <x v="6"/>
    <x v="3"/>
    <x v="6"/>
    <x v="6"/>
    <x v="1"/>
    <x v="119"/>
    <x v="1"/>
    <x v="1"/>
    <x v="6"/>
  </r>
  <r>
    <x v="0"/>
    <x v="3"/>
    <x v="6"/>
    <x v="6"/>
    <x v="1"/>
    <x v="120"/>
    <x v="1"/>
    <x v="1"/>
    <x v="6"/>
  </r>
  <r>
    <x v="1"/>
    <x v="3"/>
    <x v="6"/>
    <x v="6"/>
    <x v="1"/>
    <x v="121"/>
    <x v="1"/>
    <x v="1"/>
    <x v="6"/>
  </r>
  <r>
    <x v="2"/>
    <x v="3"/>
    <x v="6"/>
    <x v="6"/>
    <x v="1"/>
    <x v="122"/>
    <x v="1"/>
    <x v="1"/>
    <x v="6"/>
  </r>
  <r>
    <x v="3"/>
    <x v="3"/>
    <x v="6"/>
    <x v="6"/>
    <x v="1"/>
    <x v="123"/>
    <x v="1"/>
    <x v="1"/>
    <x v="6"/>
  </r>
  <r>
    <x v="4"/>
    <x v="3"/>
    <x v="6"/>
    <x v="6"/>
    <x v="1"/>
    <x v="124"/>
    <x v="1"/>
    <x v="1"/>
    <x v="6"/>
  </r>
  <r>
    <x v="10"/>
    <x v="3"/>
    <x v="6"/>
    <x v="4"/>
    <x v="1"/>
    <x v="0"/>
    <x v="9"/>
    <x v="2"/>
    <x v="6"/>
  </r>
  <r>
    <x v="11"/>
    <x v="3"/>
    <x v="6"/>
    <x v="4"/>
    <x v="1"/>
    <x v="125"/>
    <x v="9"/>
    <x v="2"/>
    <x v="6"/>
  </r>
  <r>
    <x v="7"/>
    <x v="3"/>
    <x v="6"/>
    <x v="4"/>
    <x v="1"/>
    <x v="126"/>
    <x v="9"/>
    <x v="2"/>
    <x v="6"/>
  </r>
  <r>
    <x v="8"/>
    <x v="3"/>
    <x v="6"/>
    <x v="4"/>
    <x v="1"/>
    <x v="127"/>
    <x v="9"/>
    <x v="2"/>
    <x v="6"/>
  </r>
  <r>
    <x v="5"/>
    <x v="3"/>
    <x v="6"/>
    <x v="4"/>
    <x v="1"/>
    <x v="128"/>
    <x v="9"/>
    <x v="2"/>
    <x v="6"/>
  </r>
  <r>
    <x v="6"/>
    <x v="3"/>
    <x v="6"/>
    <x v="4"/>
    <x v="1"/>
    <x v="129"/>
    <x v="9"/>
    <x v="2"/>
    <x v="6"/>
  </r>
  <r>
    <x v="0"/>
    <x v="3"/>
    <x v="6"/>
    <x v="4"/>
    <x v="1"/>
    <x v="130"/>
    <x v="9"/>
    <x v="2"/>
    <x v="6"/>
  </r>
  <r>
    <x v="1"/>
    <x v="3"/>
    <x v="6"/>
    <x v="4"/>
    <x v="1"/>
    <x v="131"/>
    <x v="9"/>
    <x v="2"/>
    <x v="6"/>
  </r>
  <r>
    <x v="2"/>
    <x v="3"/>
    <x v="6"/>
    <x v="4"/>
    <x v="1"/>
    <x v="132"/>
    <x v="9"/>
    <x v="2"/>
    <x v="6"/>
  </r>
  <r>
    <x v="3"/>
    <x v="3"/>
    <x v="6"/>
    <x v="4"/>
    <x v="1"/>
    <x v="133"/>
    <x v="9"/>
    <x v="2"/>
    <x v="6"/>
  </r>
  <r>
    <x v="4"/>
    <x v="3"/>
    <x v="6"/>
    <x v="4"/>
    <x v="1"/>
    <x v="134"/>
    <x v="9"/>
    <x v="2"/>
    <x v="6"/>
  </r>
  <r>
    <x v="1"/>
    <x v="3"/>
    <x v="6"/>
    <x v="2"/>
    <x v="0"/>
    <x v="0"/>
    <x v="7"/>
    <x v="1"/>
    <x v="6"/>
  </r>
  <r>
    <x v="2"/>
    <x v="3"/>
    <x v="6"/>
    <x v="2"/>
    <x v="0"/>
    <x v="135"/>
    <x v="7"/>
    <x v="1"/>
    <x v="6"/>
  </r>
  <r>
    <x v="3"/>
    <x v="3"/>
    <x v="6"/>
    <x v="2"/>
    <x v="0"/>
    <x v="136"/>
    <x v="7"/>
    <x v="1"/>
    <x v="6"/>
  </r>
  <r>
    <x v="4"/>
    <x v="3"/>
    <x v="6"/>
    <x v="2"/>
    <x v="0"/>
    <x v="137"/>
    <x v="7"/>
    <x v="1"/>
    <x v="6"/>
  </r>
  <r>
    <x v="15"/>
    <x v="4"/>
    <x v="1"/>
    <x v="6"/>
    <x v="1"/>
    <x v="0"/>
    <x v="10"/>
    <x v="1"/>
    <x v="1"/>
  </r>
  <r>
    <x v="9"/>
    <x v="4"/>
    <x v="1"/>
    <x v="6"/>
    <x v="1"/>
    <x v="138"/>
    <x v="10"/>
    <x v="1"/>
    <x v="1"/>
  </r>
  <r>
    <x v="10"/>
    <x v="4"/>
    <x v="1"/>
    <x v="6"/>
    <x v="1"/>
    <x v="139"/>
    <x v="10"/>
    <x v="1"/>
    <x v="1"/>
  </r>
  <r>
    <x v="11"/>
    <x v="4"/>
    <x v="1"/>
    <x v="6"/>
    <x v="1"/>
    <x v="140"/>
    <x v="10"/>
    <x v="1"/>
    <x v="1"/>
  </r>
  <r>
    <x v="7"/>
    <x v="4"/>
    <x v="1"/>
    <x v="6"/>
    <x v="1"/>
    <x v="141"/>
    <x v="10"/>
    <x v="1"/>
    <x v="1"/>
  </r>
  <r>
    <x v="8"/>
    <x v="4"/>
    <x v="1"/>
    <x v="6"/>
    <x v="1"/>
    <x v="142"/>
    <x v="10"/>
    <x v="1"/>
    <x v="1"/>
  </r>
  <r>
    <x v="5"/>
    <x v="4"/>
    <x v="1"/>
    <x v="6"/>
    <x v="1"/>
    <x v="143"/>
    <x v="10"/>
    <x v="1"/>
    <x v="1"/>
  </r>
  <r>
    <x v="6"/>
    <x v="4"/>
    <x v="1"/>
    <x v="6"/>
    <x v="1"/>
    <x v="144"/>
    <x v="10"/>
    <x v="1"/>
    <x v="1"/>
  </r>
  <r>
    <x v="0"/>
    <x v="4"/>
    <x v="1"/>
    <x v="6"/>
    <x v="1"/>
    <x v="145"/>
    <x v="10"/>
    <x v="1"/>
    <x v="1"/>
  </r>
  <r>
    <x v="1"/>
    <x v="4"/>
    <x v="1"/>
    <x v="6"/>
    <x v="1"/>
    <x v="146"/>
    <x v="10"/>
    <x v="1"/>
    <x v="1"/>
  </r>
  <r>
    <x v="2"/>
    <x v="4"/>
    <x v="1"/>
    <x v="6"/>
    <x v="1"/>
    <x v="147"/>
    <x v="10"/>
    <x v="1"/>
    <x v="1"/>
  </r>
  <r>
    <x v="3"/>
    <x v="4"/>
    <x v="1"/>
    <x v="6"/>
    <x v="1"/>
    <x v="148"/>
    <x v="10"/>
    <x v="1"/>
    <x v="1"/>
  </r>
  <r>
    <x v="4"/>
    <x v="4"/>
    <x v="1"/>
    <x v="6"/>
    <x v="1"/>
    <x v="149"/>
    <x v="10"/>
    <x v="1"/>
    <x v="1"/>
  </r>
  <r>
    <x v="7"/>
    <x v="4"/>
    <x v="3"/>
    <x v="8"/>
    <x v="1"/>
    <x v="0"/>
    <x v="2"/>
    <x v="2"/>
    <x v="3"/>
  </r>
  <r>
    <x v="8"/>
    <x v="4"/>
    <x v="3"/>
    <x v="8"/>
    <x v="1"/>
    <x v="150"/>
    <x v="2"/>
    <x v="2"/>
    <x v="3"/>
  </r>
  <r>
    <x v="5"/>
    <x v="4"/>
    <x v="3"/>
    <x v="8"/>
    <x v="1"/>
    <x v="151"/>
    <x v="2"/>
    <x v="2"/>
    <x v="3"/>
  </r>
  <r>
    <x v="6"/>
    <x v="4"/>
    <x v="3"/>
    <x v="8"/>
    <x v="1"/>
    <x v="152"/>
    <x v="2"/>
    <x v="2"/>
    <x v="3"/>
  </r>
  <r>
    <x v="0"/>
    <x v="4"/>
    <x v="3"/>
    <x v="8"/>
    <x v="1"/>
    <x v="153"/>
    <x v="2"/>
    <x v="2"/>
    <x v="3"/>
  </r>
  <r>
    <x v="1"/>
    <x v="4"/>
    <x v="3"/>
    <x v="8"/>
    <x v="1"/>
    <x v="154"/>
    <x v="2"/>
    <x v="2"/>
    <x v="3"/>
  </r>
  <r>
    <x v="2"/>
    <x v="4"/>
    <x v="3"/>
    <x v="8"/>
    <x v="1"/>
    <x v="155"/>
    <x v="2"/>
    <x v="2"/>
    <x v="3"/>
  </r>
  <r>
    <x v="3"/>
    <x v="4"/>
    <x v="3"/>
    <x v="8"/>
    <x v="1"/>
    <x v="156"/>
    <x v="2"/>
    <x v="2"/>
    <x v="3"/>
  </r>
  <r>
    <x v="4"/>
    <x v="4"/>
    <x v="3"/>
    <x v="8"/>
    <x v="1"/>
    <x v="157"/>
    <x v="2"/>
    <x v="2"/>
    <x v="3"/>
  </r>
  <r>
    <x v="5"/>
    <x v="4"/>
    <x v="1"/>
    <x v="9"/>
    <x v="1"/>
    <x v="0"/>
    <x v="1"/>
    <x v="1"/>
    <x v="1"/>
  </r>
  <r>
    <x v="6"/>
    <x v="4"/>
    <x v="1"/>
    <x v="9"/>
    <x v="1"/>
    <x v="158"/>
    <x v="1"/>
    <x v="1"/>
    <x v="1"/>
  </r>
  <r>
    <x v="0"/>
    <x v="4"/>
    <x v="1"/>
    <x v="9"/>
    <x v="1"/>
    <x v="159"/>
    <x v="1"/>
    <x v="1"/>
    <x v="1"/>
  </r>
  <r>
    <x v="1"/>
    <x v="4"/>
    <x v="1"/>
    <x v="9"/>
    <x v="1"/>
    <x v="160"/>
    <x v="1"/>
    <x v="1"/>
    <x v="1"/>
  </r>
  <r>
    <x v="2"/>
    <x v="4"/>
    <x v="1"/>
    <x v="9"/>
    <x v="1"/>
    <x v="161"/>
    <x v="1"/>
    <x v="1"/>
    <x v="1"/>
  </r>
  <r>
    <x v="3"/>
    <x v="4"/>
    <x v="1"/>
    <x v="9"/>
    <x v="1"/>
    <x v="162"/>
    <x v="1"/>
    <x v="1"/>
    <x v="1"/>
  </r>
  <r>
    <x v="4"/>
    <x v="4"/>
    <x v="1"/>
    <x v="9"/>
    <x v="1"/>
    <x v="163"/>
    <x v="1"/>
    <x v="1"/>
    <x v="1"/>
  </r>
  <r>
    <x v="14"/>
    <x v="5"/>
    <x v="0"/>
    <x v="4"/>
    <x v="1"/>
    <x v="0"/>
    <x v="11"/>
    <x v="2"/>
    <x v="0"/>
  </r>
  <r>
    <x v="15"/>
    <x v="5"/>
    <x v="0"/>
    <x v="4"/>
    <x v="1"/>
    <x v="164"/>
    <x v="11"/>
    <x v="2"/>
    <x v="0"/>
  </r>
  <r>
    <x v="9"/>
    <x v="5"/>
    <x v="0"/>
    <x v="4"/>
    <x v="1"/>
    <x v="165"/>
    <x v="11"/>
    <x v="2"/>
    <x v="0"/>
  </r>
  <r>
    <x v="10"/>
    <x v="5"/>
    <x v="0"/>
    <x v="4"/>
    <x v="1"/>
    <x v="166"/>
    <x v="11"/>
    <x v="2"/>
    <x v="0"/>
  </r>
  <r>
    <x v="11"/>
    <x v="5"/>
    <x v="0"/>
    <x v="4"/>
    <x v="1"/>
    <x v="167"/>
    <x v="11"/>
    <x v="2"/>
    <x v="0"/>
  </r>
  <r>
    <x v="7"/>
    <x v="5"/>
    <x v="0"/>
    <x v="4"/>
    <x v="1"/>
    <x v="168"/>
    <x v="11"/>
    <x v="2"/>
    <x v="0"/>
  </r>
  <r>
    <x v="8"/>
    <x v="5"/>
    <x v="0"/>
    <x v="4"/>
    <x v="1"/>
    <x v="169"/>
    <x v="11"/>
    <x v="2"/>
    <x v="0"/>
  </r>
  <r>
    <x v="5"/>
    <x v="5"/>
    <x v="0"/>
    <x v="4"/>
    <x v="1"/>
    <x v="170"/>
    <x v="11"/>
    <x v="2"/>
    <x v="0"/>
  </r>
  <r>
    <x v="6"/>
    <x v="5"/>
    <x v="0"/>
    <x v="4"/>
    <x v="1"/>
    <x v="171"/>
    <x v="11"/>
    <x v="2"/>
    <x v="0"/>
  </r>
  <r>
    <x v="0"/>
    <x v="5"/>
    <x v="0"/>
    <x v="4"/>
    <x v="1"/>
    <x v="172"/>
    <x v="11"/>
    <x v="2"/>
    <x v="0"/>
  </r>
  <r>
    <x v="1"/>
    <x v="5"/>
    <x v="0"/>
    <x v="4"/>
    <x v="1"/>
    <x v="173"/>
    <x v="11"/>
    <x v="2"/>
    <x v="0"/>
  </r>
  <r>
    <x v="2"/>
    <x v="5"/>
    <x v="0"/>
    <x v="4"/>
    <x v="1"/>
    <x v="174"/>
    <x v="11"/>
    <x v="2"/>
    <x v="0"/>
  </r>
  <r>
    <x v="3"/>
    <x v="5"/>
    <x v="0"/>
    <x v="4"/>
    <x v="1"/>
    <x v="175"/>
    <x v="11"/>
    <x v="2"/>
    <x v="0"/>
  </r>
  <r>
    <x v="4"/>
    <x v="5"/>
    <x v="0"/>
    <x v="4"/>
    <x v="1"/>
    <x v="176"/>
    <x v="11"/>
    <x v="2"/>
    <x v="0"/>
  </r>
  <r>
    <x v="11"/>
    <x v="5"/>
    <x v="0"/>
    <x v="6"/>
    <x v="1"/>
    <x v="0"/>
    <x v="12"/>
    <x v="1"/>
    <x v="0"/>
  </r>
  <r>
    <x v="7"/>
    <x v="5"/>
    <x v="0"/>
    <x v="6"/>
    <x v="1"/>
    <x v="177"/>
    <x v="12"/>
    <x v="1"/>
    <x v="0"/>
  </r>
  <r>
    <x v="8"/>
    <x v="5"/>
    <x v="0"/>
    <x v="6"/>
    <x v="1"/>
    <x v="178"/>
    <x v="12"/>
    <x v="1"/>
    <x v="0"/>
  </r>
  <r>
    <x v="5"/>
    <x v="5"/>
    <x v="0"/>
    <x v="6"/>
    <x v="1"/>
    <x v="179"/>
    <x v="12"/>
    <x v="1"/>
    <x v="0"/>
  </r>
  <r>
    <x v="6"/>
    <x v="5"/>
    <x v="0"/>
    <x v="6"/>
    <x v="1"/>
    <x v="180"/>
    <x v="12"/>
    <x v="1"/>
    <x v="0"/>
  </r>
  <r>
    <x v="0"/>
    <x v="5"/>
    <x v="0"/>
    <x v="6"/>
    <x v="1"/>
    <x v="181"/>
    <x v="12"/>
    <x v="1"/>
    <x v="0"/>
  </r>
  <r>
    <x v="1"/>
    <x v="5"/>
    <x v="0"/>
    <x v="6"/>
    <x v="1"/>
    <x v="182"/>
    <x v="12"/>
    <x v="1"/>
    <x v="0"/>
  </r>
  <r>
    <x v="2"/>
    <x v="5"/>
    <x v="0"/>
    <x v="6"/>
    <x v="1"/>
    <x v="183"/>
    <x v="12"/>
    <x v="1"/>
    <x v="0"/>
  </r>
  <r>
    <x v="3"/>
    <x v="5"/>
    <x v="0"/>
    <x v="6"/>
    <x v="1"/>
    <x v="184"/>
    <x v="12"/>
    <x v="1"/>
    <x v="0"/>
  </r>
  <r>
    <x v="4"/>
    <x v="5"/>
    <x v="0"/>
    <x v="6"/>
    <x v="1"/>
    <x v="185"/>
    <x v="12"/>
    <x v="1"/>
    <x v="0"/>
  </r>
  <r>
    <x v="7"/>
    <x v="6"/>
    <x v="4"/>
    <x v="6"/>
    <x v="2"/>
    <x v="0"/>
    <x v="2"/>
    <x v="1"/>
    <x v="4"/>
  </r>
  <r>
    <x v="8"/>
    <x v="6"/>
    <x v="4"/>
    <x v="6"/>
    <x v="2"/>
    <x v="186"/>
    <x v="2"/>
    <x v="1"/>
    <x v="4"/>
  </r>
  <r>
    <x v="5"/>
    <x v="6"/>
    <x v="4"/>
    <x v="6"/>
    <x v="2"/>
    <x v="187"/>
    <x v="2"/>
    <x v="1"/>
    <x v="4"/>
  </r>
  <r>
    <x v="6"/>
    <x v="6"/>
    <x v="4"/>
    <x v="6"/>
    <x v="2"/>
    <x v="188"/>
    <x v="2"/>
    <x v="1"/>
    <x v="4"/>
  </r>
  <r>
    <x v="0"/>
    <x v="6"/>
    <x v="4"/>
    <x v="6"/>
    <x v="2"/>
    <x v="189"/>
    <x v="2"/>
    <x v="1"/>
    <x v="4"/>
  </r>
  <r>
    <x v="1"/>
    <x v="6"/>
    <x v="4"/>
    <x v="6"/>
    <x v="2"/>
    <x v="190"/>
    <x v="2"/>
    <x v="1"/>
    <x v="4"/>
  </r>
  <r>
    <x v="2"/>
    <x v="6"/>
    <x v="4"/>
    <x v="6"/>
    <x v="2"/>
    <x v="191"/>
    <x v="2"/>
    <x v="1"/>
    <x v="4"/>
  </r>
  <r>
    <x v="3"/>
    <x v="6"/>
    <x v="4"/>
    <x v="6"/>
    <x v="2"/>
    <x v="192"/>
    <x v="2"/>
    <x v="1"/>
    <x v="4"/>
  </r>
  <r>
    <x v="4"/>
    <x v="6"/>
    <x v="4"/>
    <x v="6"/>
    <x v="2"/>
    <x v="193"/>
    <x v="2"/>
    <x v="1"/>
    <x v="4"/>
  </r>
  <r>
    <x v="2"/>
    <x v="6"/>
    <x v="1"/>
    <x v="10"/>
    <x v="2"/>
    <x v="0"/>
    <x v="5"/>
    <x v="2"/>
    <x v="1"/>
  </r>
  <r>
    <x v="3"/>
    <x v="6"/>
    <x v="1"/>
    <x v="10"/>
    <x v="2"/>
    <x v="194"/>
    <x v="5"/>
    <x v="2"/>
    <x v="1"/>
  </r>
  <r>
    <x v="4"/>
    <x v="6"/>
    <x v="1"/>
    <x v="10"/>
    <x v="2"/>
    <x v="195"/>
    <x v="5"/>
    <x v="2"/>
    <x v="1"/>
  </r>
  <r>
    <x v="8"/>
    <x v="7"/>
    <x v="4"/>
    <x v="6"/>
    <x v="2"/>
    <x v="0"/>
    <x v="13"/>
    <x v="1"/>
    <x v="4"/>
  </r>
  <r>
    <x v="5"/>
    <x v="7"/>
    <x v="4"/>
    <x v="6"/>
    <x v="2"/>
    <x v="196"/>
    <x v="13"/>
    <x v="1"/>
    <x v="4"/>
  </r>
  <r>
    <x v="6"/>
    <x v="7"/>
    <x v="4"/>
    <x v="6"/>
    <x v="2"/>
    <x v="197"/>
    <x v="13"/>
    <x v="1"/>
    <x v="4"/>
  </r>
  <r>
    <x v="0"/>
    <x v="7"/>
    <x v="4"/>
    <x v="6"/>
    <x v="2"/>
    <x v="198"/>
    <x v="13"/>
    <x v="1"/>
    <x v="4"/>
  </r>
  <r>
    <x v="1"/>
    <x v="7"/>
    <x v="4"/>
    <x v="6"/>
    <x v="2"/>
    <x v="199"/>
    <x v="13"/>
    <x v="1"/>
    <x v="4"/>
  </r>
  <r>
    <x v="2"/>
    <x v="7"/>
    <x v="4"/>
    <x v="6"/>
    <x v="2"/>
    <x v="200"/>
    <x v="13"/>
    <x v="1"/>
    <x v="4"/>
  </r>
  <r>
    <x v="3"/>
    <x v="7"/>
    <x v="4"/>
    <x v="6"/>
    <x v="2"/>
    <x v="201"/>
    <x v="13"/>
    <x v="1"/>
    <x v="4"/>
  </r>
  <r>
    <x v="4"/>
    <x v="7"/>
    <x v="4"/>
    <x v="6"/>
    <x v="2"/>
    <x v="202"/>
    <x v="13"/>
    <x v="1"/>
    <x v="4"/>
  </r>
  <r>
    <x v="4"/>
    <x v="7"/>
    <x v="1"/>
    <x v="9"/>
    <x v="3"/>
    <x v="203"/>
    <x v="6"/>
    <x v="1"/>
    <x v="1"/>
  </r>
  <r>
    <x v="5"/>
    <x v="8"/>
    <x v="1"/>
    <x v="6"/>
    <x v="2"/>
    <x v="0"/>
    <x v="1"/>
    <x v="1"/>
    <x v="1"/>
  </r>
  <r>
    <x v="6"/>
    <x v="8"/>
    <x v="1"/>
    <x v="6"/>
    <x v="2"/>
    <x v="204"/>
    <x v="1"/>
    <x v="1"/>
    <x v="1"/>
  </r>
  <r>
    <x v="0"/>
    <x v="8"/>
    <x v="1"/>
    <x v="6"/>
    <x v="2"/>
    <x v="205"/>
    <x v="1"/>
    <x v="1"/>
    <x v="1"/>
  </r>
  <r>
    <x v="1"/>
    <x v="8"/>
    <x v="1"/>
    <x v="6"/>
    <x v="2"/>
    <x v="206"/>
    <x v="1"/>
    <x v="1"/>
    <x v="1"/>
  </r>
  <r>
    <x v="2"/>
    <x v="8"/>
    <x v="1"/>
    <x v="6"/>
    <x v="2"/>
    <x v="207"/>
    <x v="1"/>
    <x v="1"/>
    <x v="1"/>
  </r>
  <r>
    <x v="3"/>
    <x v="8"/>
    <x v="1"/>
    <x v="6"/>
    <x v="2"/>
    <x v="208"/>
    <x v="1"/>
    <x v="1"/>
    <x v="1"/>
  </r>
  <r>
    <x v="4"/>
    <x v="8"/>
    <x v="1"/>
    <x v="6"/>
    <x v="2"/>
    <x v="209"/>
    <x v="1"/>
    <x v="1"/>
    <x v="1"/>
  </r>
  <r>
    <x v="7"/>
    <x v="8"/>
    <x v="0"/>
    <x v="6"/>
    <x v="2"/>
    <x v="0"/>
    <x v="2"/>
    <x v="1"/>
    <x v="0"/>
  </r>
  <r>
    <x v="8"/>
    <x v="8"/>
    <x v="0"/>
    <x v="6"/>
    <x v="2"/>
    <x v="210"/>
    <x v="2"/>
    <x v="1"/>
    <x v="0"/>
  </r>
  <r>
    <x v="5"/>
    <x v="8"/>
    <x v="0"/>
    <x v="6"/>
    <x v="2"/>
    <x v="211"/>
    <x v="2"/>
    <x v="1"/>
    <x v="0"/>
  </r>
  <r>
    <x v="6"/>
    <x v="8"/>
    <x v="0"/>
    <x v="6"/>
    <x v="2"/>
    <x v="212"/>
    <x v="2"/>
    <x v="1"/>
    <x v="0"/>
  </r>
  <r>
    <x v="0"/>
    <x v="8"/>
    <x v="0"/>
    <x v="6"/>
    <x v="2"/>
    <x v="213"/>
    <x v="2"/>
    <x v="1"/>
    <x v="0"/>
  </r>
  <r>
    <x v="1"/>
    <x v="8"/>
    <x v="0"/>
    <x v="6"/>
    <x v="2"/>
    <x v="214"/>
    <x v="2"/>
    <x v="1"/>
    <x v="0"/>
  </r>
  <r>
    <x v="2"/>
    <x v="8"/>
    <x v="0"/>
    <x v="6"/>
    <x v="2"/>
    <x v="215"/>
    <x v="2"/>
    <x v="1"/>
    <x v="0"/>
  </r>
  <r>
    <x v="3"/>
    <x v="8"/>
    <x v="0"/>
    <x v="6"/>
    <x v="2"/>
    <x v="216"/>
    <x v="2"/>
    <x v="1"/>
    <x v="0"/>
  </r>
  <r>
    <x v="4"/>
    <x v="8"/>
    <x v="0"/>
    <x v="6"/>
    <x v="2"/>
    <x v="217"/>
    <x v="2"/>
    <x v="1"/>
    <x v="0"/>
  </r>
  <r>
    <x v="4"/>
    <x v="8"/>
    <x v="1"/>
    <x v="9"/>
    <x v="2"/>
    <x v="218"/>
    <x v="6"/>
    <x v="1"/>
    <x v="1"/>
  </r>
  <r>
    <x v="5"/>
    <x v="9"/>
    <x v="6"/>
    <x v="6"/>
    <x v="4"/>
    <x v="0"/>
    <x v="1"/>
    <x v="1"/>
    <x v="6"/>
  </r>
  <r>
    <x v="6"/>
    <x v="9"/>
    <x v="6"/>
    <x v="6"/>
    <x v="4"/>
    <x v="219"/>
    <x v="1"/>
    <x v="1"/>
    <x v="6"/>
  </r>
  <r>
    <x v="0"/>
    <x v="9"/>
    <x v="6"/>
    <x v="6"/>
    <x v="4"/>
    <x v="220"/>
    <x v="1"/>
    <x v="1"/>
    <x v="6"/>
  </r>
  <r>
    <x v="1"/>
    <x v="9"/>
    <x v="6"/>
    <x v="6"/>
    <x v="4"/>
    <x v="221"/>
    <x v="1"/>
    <x v="1"/>
    <x v="6"/>
  </r>
  <r>
    <x v="2"/>
    <x v="9"/>
    <x v="6"/>
    <x v="6"/>
    <x v="4"/>
    <x v="222"/>
    <x v="1"/>
    <x v="1"/>
    <x v="6"/>
  </r>
  <r>
    <x v="3"/>
    <x v="9"/>
    <x v="6"/>
    <x v="6"/>
    <x v="4"/>
    <x v="223"/>
    <x v="1"/>
    <x v="1"/>
    <x v="6"/>
  </r>
  <r>
    <x v="4"/>
    <x v="9"/>
    <x v="6"/>
    <x v="6"/>
    <x v="4"/>
    <x v="224"/>
    <x v="1"/>
    <x v="1"/>
    <x v="6"/>
  </r>
  <r>
    <x v="5"/>
    <x v="10"/>
    <x v="6"/>
    <x v="6"/>
    <x v="2"/>
    <x v="0"/>
    <x v="1"/>
    <x v="1"/>
    <x v="6"/>
  </r>
  <r>
    <x v="6"/>
    <x v="10"/>
    <x v="6"/>
    <x v="6"/>
    <x v="2"/>
    <x v="225"/>
    <x v="1"/>
    <x v="1"/>
    <x v="6"/>
  </r>
  <r>
    <x v="0"/>
    <x v="10"/>
    <x v="6"/>
    <x v="6"/>
    <x v="2"/>
    <x v="226"/>
    <x v="1"/>
    <x v="1"/>
    <x v="6"/>
  </r>
  <r>
    <x v="1"/>
    <x v="10"/>
    <x v="6"/>
    <x v="6"/>
    <x v="2"/>
    <x v="227"/>
    <x v="1"/>
    <x v="1"/>
    <x v="6"/>
  </r>
  <r>
    <x v="2"/>
    <x v="10"/>
    <x v="6"/>
    <x v="6"/>
    <x v="2"/>
    <x v="228"/>
    <x v="1"/>
    <x v="1"/>
    <x v="6"/>
  </r>
  <r>
    <x v="3"/>
    <x v="10"/>
    <x v="6"/>
    <x v="6"/>
    <x v="2"/>
    <x v="229"/>
    <x v="1"/>
    <x v="1"/>
    <x v="6"/>
  </r>
  <r>
    <x v="4"/>
    <x v="10"/>
    <x v="6"/>
    <x v="6"/>
    <x v="2"/>
    <x v="230"/>
    <x v="1"/>
    <x v="1"/>
    <x v="6"/>
  </r>
  <r>
    <x v="7"/>
    <x v="11"/>
    <x v="3"/>
    <x v="11"/>
    <x v="1"/>
    <x v="0"/>
    <x v="2"/>
    <x v="3"/>
    <x v="3"/>
  </r>
  <r>
    <x v="8"/>
    <x v="11"/>
    <x v="3"/>
    <x v="11"/>
    <x v="1"/>
    <x v="231"/>
    <x v="2"/>
    <x v="3"/>
    <x v="3"/>
  </r>
  <r>
    <x v="5"/>
    <x v="11"/>
    <x v="3"/>
    <x v="11"/>
    <x v="1"/>
    <x v="232"/>
    <x v="2"/>
    <x v="3"/>
    <x v="3"/>
  </r>
  <r>
    <x v="6"/>
    <x v="11"/>
    <x v="3"/>
    <x v="11"/>
    <x v="1"/>
    <x v="233"/>
    <x v="2"/>
    <x v="3"/>
    <x v="3"/>
  </r>
  <r>
    <x v="0"/>
    <x v="11"/>
    <x v="3"/>
    <x v="11"/>
    <x v="1"/>
    <x v="234"/>
    <x v="2"/>
    <x v="3"/>
    <x v="3"/>
  </r>
  <r>
    <x v="1"/>
    <x v="11"/>
    <x v="3"/>
    <x v="11"/>
    <x v="1"/>
    <x v="235"/>
    <x v="2"/>
    <x v="3"/>
    <x v="3"/>
  </r>
  <r>
    <x v="2"/>
    <x v="11"/>
    <x v="3"/>
    <x v="11"/>
    <x v="1"/>
    <x v="236"/>
    <x v="2"/>
    <x v="3"/>
    <x v="3"/>
  </r>
  <r>
    <x v="3"/>
    <x v="11"/>
    <x v="3"/>
    <x v="11"/>
    <x v="1"/>
    <x v="237"/>
    <x v="2"/>
    <x v="3"/>
    <x v="3"/>
  </r>
  <r>
    <x v="4"/>
    <x v="11"/>
    <x v="3"/>
    <x v="11"/>
    <x v="1"/>
    <x v="238"/>
    <x v="2"/>
    <x v="3"/>
    <x v="3"/>
  </r>
  <r>
    <x v="0"/>
    <x v="11"/>
    <x v="3"/>
    <x v="11"/>
    <x v="5"/>
    <x v="0"/>
    <x v="0"/>
    <x v="3"/>
    <x v="3"/>
  </r>
  <r>
    <x v="1"/>
    <x v="11"/>
    <x v="3"/>
    <x v="11"/>
    <x v="5"/>
    <x v="239"/>
    <x v="0"/>
    <x v="3"/>
    <x v="3"/>
  </r>
  <r>
    <x v="2"/>
    <x v="11"/>
    <x v="3"/>
    <x v="11"/>
    <x v="5"/>
    <x v="240"/>
    <x v="0"/>
    <x v="3"/>
    <x v="3"/>
  </r>
  <r>
    <x v="3"/>
    <x v="11"/>
    <x v="3"/>
    <x v="11"/>
    <x v="5"/>
    <x v="241"/>
    <x v="0"/>
    <x v="3"/>
    <x v="3"/>
  </r>
  <r>
    <x v="4"/>
    <x v="11"/>
    <x v="3"/>
    <x v="11"/>
    <x v="5"/>
    <x v="242"/>
    <x v="0"/>
    <x v="3"/>
    <x v="3"/>
  </r>
  <r>
    <x v="11"/>
    <x v="12"/>
    <x v="7"/>
    <x v="11"/>
    <x v="1"/>
    <x v="0"/>
    <x v="12"/>
    <x v="3"/>
    <x v="3"/>
  </r>
  <r>
    <x v="7"/>
    <x v="12"/>
    <x v="7"/>
    <x v="11"/>
    <x v="1"/>
    <x v="243"/>
    <x v="12"/>
    <x v="3"/>
    <x v="3"/>
  </r>
  <r>
    <x v="8"/>
    <x v="12"/>
    <x v="7"/>
    <x v="11"/>
    <x v="1"/>
    <x v="244"/>
    <x v="12"/>
    <x v="3"/>
    <x v="3"/>
  </r>
  <r>
    <x v="5"/>
    <x v="12"/>
    <x v="7"/>
    <x v="11"/>
    <x v="1"/>
    <x v="245"/>
    <x v="12"/>
    <x v="3"/>
    <x v="3"/>
  </r>
  <r>
    <x v="6"/>
    <x v="12"/>
    <x v="7"/>
    <x v="11"/>
    <x v="1"/>
    <x v="246"/>
    <x v="12"/>
    <x v="3"/>
    <x v="3"/>
  </r>
  <r>
    <x v="0"/>
    <x v="12"/>
    <x v="7"/>
    <x v="11"/>
    <x v="1"/>
    <x v="247"/>
    <x v="12"/>
    <x v="3"/>
    <x v="3"/>
  </r>
  <r>
    <x v="1"/>
    <x v="12"/>
    <x v="7"/>
    <x v="11"/>
    <x v="1"/>
    <x v="248"/>
    <x v="12"/>
    <x v="3"/>
    <x v="3"/>
  </r>
  <r>
    <x v="2"/>
    <x v="12"/>
    <x v="7"/>
    <x v="11"/>
    <x v="1"/>
    <x v="249"/>
    <x v="12"/>
    <x v="3"/>
    <x v="3"/>
  </r>
  <r>
    <x v="3"/>
    <x v="12"/>
    <x v="7"/>
    <x v="11"/>
    <x v="1"/>
    <x v="250"/>
    <x v="12"/>
    <x v="3"/>
    <x v="3"/>
  </r>
  <r>
    <x v="4"/>
    <x v="12"/>
    <x v="7"/>
    <x v="11"/>
    <x v="1"/>
    <x v="251"/>
    <x v="12"/>
    <x v="3"/>
    <x v="3"/>
  </r>
  <r>
    <x v="9"/>
    <x v="13"/>
    <x v="8"/>
    <x v="12"/>
    <x v="1"/>
    <x v="0"/>
    <x v="3"/>
    <x v="3"/>
    <x v="3"/>
  </r>
  <r>
    <x v="10"/>
    <x v="13"/>
    <x v="8"/>
    <x v="12"/>
    <x v="1"/>
    <x v="252"/>
    <x v="3"/>
    <x v="3"/>
    <x v="3"/>
  </r>
  <r>
    <x v="11"/>
    <x v="13"/>
    <x v="8"/>
    <x v="12"/>
    <x v="1"/>
    <x v="253"/>
    <x v="3"/>
    <x v="3"/>
    <x v="3"/>
  </r>
  <r>
    <x v="7"/>
    <x v="13"/>
    <x v="8"/>
    <x v="12"/>
    <x v="1"/>
    <x v="254"/>
    <x v="3"/>
    <x v="3"/>
    <x v="3"/>
  </r>
  <r>
    <x v="8"/>
    <x v="13"/>
    <x v="8"/>
    <x v="12"/>
    <x v="1"/>
    <x v="255"/>
    <x v="3"/>
    <x v="3"/>
    <x v="3"/>
  </r>
  <r>
    <x v="5"/>
    <x v="13"/>
    <x v="8"/>
    <x v="12"/>
    <x v="1"/>
    <x v="256"/>
    <x v="3"/>
    <x v="3"/>
    <x v="3"/>
  </r>
  <r>
    <x v="6"/>
    <x v="13"/>
    <x v="8"/>
    <x v="12"/>
    <x v="1"/>
    <x v="257"/>
    <x v="3"/>
    <x v="3"/>
    <x v="3"/>
  </r>
  <r>
    <x v="0"/>
    <x v="13"/>
    <x v="8"/>
    <x v="12"/>
    <x v="1"/>
    <x v="258"/>
    <x v="3"/>
    <x v="3"/>
    <x v="3"/>
  </r>
  <r>
    <x v="1"/>
    <x v="13"/>
    <x v="8"/>
    <x v="12"/>
    <x v="1"/>
    <x v="259"/>
    <x v="3"/>
    <x v="3"/>
    <x v="3"/>
  </r>
  <r>
    <x v="2"/>
    <x v="13"/>
    <x v="8"/>
    <x v="12"/>
    <x v="1"/>
    <x v="260"/>
    <x v="3"/>
    <x v="3"/>
    <x v="3"/>
  </r>
  <r>
    <x v="3"/>
    <x v="13"/>
    <x v="8"/>
    <x v="12"/>
    <x v="1"/>
    <x v="261"/>
    <x v="3"/>
    <x v="3"/>
    <x v="3"/>
  </r>
  <r>
    <x v="4"/>
    <x v="13"/>
    <x v="8"/>
    <x v="12"/>
    <x v="1"/>
    <x v="262"/>
    <x v="3"/>
    <x v="3"/>
    <x v="3"/>
  </r>
  <r>
    <x v="8"/>
    <x v="14"/>
    <x v="2"/>
    <x v="13"/>
    <x v="1"/>
    <x v="0"/>
    <x v="13"/>
    <x v="3"/>
    <x v="2"/>
  </r>
  <r>
    <x v="5"/>
    <x v="14"/>
    <x v="2"/>
    <x v="13"/>
    <x v="1"/>
    <x v="263"/>
    <x v="13"/>
    <x v="3"/>
    <x v="2"/>
  </r>
  <r>
    <x v="6"/>
    <x v="14"/>
    <x v="2"/>
    <x v="13"/>
    <x v="1"/>
    <x v="264"/>
    <x v="13"/>
    <x v="3"/>
    <x v="2"/>
  </r>
  <r>
    <x v="0"/>
    <x v="14"/>
    <x v="2"/>
    <x v="13"/>
    <x v="1"/>
    <x v="265"/>
    <x v="13"/>
    <x v="3"/>
    <x v="2"/>
  </r>
  <r>
    <x v="1"/>
    <x v="14"/>
    <x v="2"/>
    <x v="13"/>
    <x v="1"/>
    <x v="266"/>
    <x v="13"/>
    <x v="3"/>
    <x v="2"/>
  </r>
  <r>
    <x v="2"/>
    <x v="14"/>
    <x v="2"/>
    <x v="13"/>
    <x v="1"/>
    <x v="267"/>
    <x v="13"/>
    <x v="3"/>
    <x v="2"/>
  </r>
  <r>
    <x v="3"/>
    <x v="14"/>
    <x v="2"/>
    <x v="13"/>
    <x v="1"/>
    <x v="268"/>
    <x v="13"/>
    <x v="3"/>
    <x v="2"/>
  </r>
  <r>
    <x v="4"/>
    <x v="14"/>
    <x v="2"/>
    <x v="13"/>
    <x v="1"/>
    <x v="269"/>
    <x v="13"/>
    <x v="3"/>
    <x v="2"/>
  </r>
  <r>
    <x v="5"/>
    <x v="15"/>
    <x v="6"/>
    <x v="4"/>
    <x v="1"/>
    <x v="0"/>
    <x v="1"/>
    <x v="2"/>
    <x v="6"/>
  </r>
  <r>
    <x v="6"/>
    <x v="15"/>
    <x v="6"/>
    <x v="4"/>
    <x v="1"/>
    <x v="270"/>
    <x v="1"/>
    <x v="2"/>
    <x v="6"/>
  </r>
  <r>
    <x v="0"/>
    <x v="15"/>
    <x v="6"/>
    <x v="4"/>
    <x v="1"/>
    <x v="271"/>
    <x v="1"/>
    <x v="2"/>
    <x v="6"/>
  </r>
  <r>
    <x v="1"/>
    <x v="15"/>
    <x v="6"/>
    <x v="4"/>
    <x v="1"/>
    <x v="272"/>
    <x v="1"/>
    <x v="2"/>
    <x v="6"/>
  </r>
  <r>
    <x v="2"/>
    <x v="15"/>
    <x v="6"/>
    <x v="4"/>
    <x v="1"/>
    <x v="273"/>
    <x v="1"/>
    <x v="2"/>
    <x v="6"/>
  </r>
  <r>
    <x v="3"/>
    <x v="15"/>
    <x v="6"/>
    <x v="4"/>
    <x v="1"/>
    <x v="274"/>
    <x v="1"/>
    <x v="2"/>
    <x v="6"/>
  </r>
  <r>
    <x v="4"/>
    <x v="15"/>
    <x v="6"/>
    <x v="4"/>
    <x v="1"/>
    <x v="275"/>
    <x v="1"/>
    <x v="2"/>
    <x v="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4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0"/>
    <x v="0"/>
    <x v="0"/>
    <x v="0"/>
    <x v="0"/>
    <x v="0"/>
    <x v="1"/>
    <x v="0"/>
  </r>
  <r>
    <x v="2"/>
    <x v="2"/>
    <x v="1"/>
    <x v="1"/>
    <x v="0"/>
    <x v="1"/>
    <x v="2"/>
    <x v="2"/>
    <x v="2"/>
    <x v="0"/>
    <x v="0"/>
    <x v="0"/>
    <x v="0"/>
    <x v="0"/>
    <x v="0"/>
    <x v="2"/>
    <x v="0"/>
  </r>
  <r>
    <x v="3"/>
    <x v="3"/>
    <x v="2"/>
    <x v="1"/>
    <x v="0"/>
    <x v="1"/>
    <x v="3"/>
    <x v="1"/>
    <x v="3"/>
    <x v="0"/>
    <x v="0"/>
    <x v="0"/>
    <x v="0"/>
    <x v="0"/>
    <x v="0"/>
    <x v="1"/>
    <x v="0"/>
  </r>
  <r>
    <x v="4"/>
    <x v="4"/>
    <x v="2"/>
    <x v="2"/>
    <x v="0"/>
    <x v="1"/>
    <x v="4"/>
    <x v="3"/>
    <x v="4"/>
    <x v="0"/>
    <x v="0"/>
    <x v="0"/>
    <x v="0"/>
    <x v="0"/>
    <x v="0"/>
    <x v="3"/>
    <x v="0"/>
  </r>
  <r>
    <x v="5"/>
    <x v="5"/>
    <x v="2"/>
    <x v="3"/>
    <x v="0"/>
    <x v="2"/>
    <x v="5"/>
    <x v="4"/>
    <x v="5"/>
    <x v="0"/>
    <x v="0"/>
    <x v="0"/>
    <x v="0"/>
    <x v="0"/>
    <x v="0"/>
    <x v="3"/>
    <x v="0"/>
  </r>
  <r>
    <x v="6"/>
    <x v="6"/>
    <x v="3"/>
    <x v="4"/>
    <x v="0"/>
    <x v="3"/>
    <x v="6"/>
    <x v="0"/>
    <x v="6"/>
    <x v="0"/>
    <x v="0"/>
    <x v="0"/>
    <x v="1"/>
    <x v="1"/>
    <x v="0"/>
    <x v="0"/>
    <x v="1"/>
  </r>
  <r>
    <x v="7"/>
    <x v="7"/>
    <x v="4"/>
    <x v="0"/>
    <x v="0"/>
    <x v="4"/>
    <x v="7"/>
    <x v="5"/>
    <x v="7"/>
    <x v="0"/>
    <x v="0"/>
    <x v="0"/>
    <x v="1"/>
    <x v="1"/>
    <x v="0"/>
    <x v="1"/>
    <x v="1"/>
  </r>
  <r>
    <x v="8"/>
    <x v="8"/>
    <x v="4"/>
    <x v="0"/>
    <x v="0"/>
    <x v="5"/>
    <x v="8"/>
    <x v="3"/>
    <x v="8"/>
    <x v="0"/>
    <x v="0"/>
    <x v="0"/>
    <x v="1"/>
    <x v="1"/>
    <x v="0"/>
    <x v="3"/>
    <x v="1"/>
  </r>
  <r>
    <x v="9"/>
    <x v="9"/>
    <x v="4"/>
    <x v="5"/>
    <x v="0"/>
    <x v="6"/>
    <x v="9"/>
    <x v="5"/>
    <x v="9"/>
    <x v="0"/>
    <x v="0"/>
    <x v="0"/>
    <x v="1"/>
    <x v="1"/>
    <x v="0"/>
    <x v="1"/>
    <x v="1"/>
  </r>
  <r>
    <x v="10"/>
    <x v="10"/>
    <x v="4"/>
    <x v="3"/>
    <x v="0"/>
    <x v="7"/>
    <x v="10"/>
    <x v="3"/>
    <x v="10"/>
    <x v="0"/>
    <x v="0"/>
    <x v="0"/>
    <x v="1"/>
    <x v="1"/>
    <x v="0"/>
    <x v="3"/>
    <x v="1"/>
  </r>
  <r>
    <x v="11"/>
    <x v="11"/>
    <x v="5"/>
    <x v="6"/>
    <x v="0"/>
    <x v="8"/>
    <x v="11"/>
    <x v="1"/>
    <x v="11"/>
    <x v="0"/>
    <x v="0"/>
    <x v="0"/>
    <x v="1"/>
    <x v="1"/>
    <x v="0"/>
    <x v="1"/>
    <x v="1"/>
  </r>
  <r>
    <x v="12"/>
    <x v="12"/>
    <x v="5"/>
    <x v="7"/>
    <x v="1"/>
    <x v="9"/>
    <x v="12"/>
    <x v="1"/>
    <x v="12"/>
    <x v="1"/>
    <x v="0"/>
    <x v="1"/>
    <x v="1"/>
    <x v="1"/>
    <x v="0"/>
    <x v="1"/>
    <x v="1"/>
  </r>
  <r>
    <x v="13"/>
    <x v="13"/>
    <x v="5"/>
    <x v="1"/>
    <x v="2"/>
    <x v="10"/>
    <x v="13"/>
    <x v="6"/>
    <x v="13"/>
    <x v="1"/>
    <x v="1"/>
    <x v="0"/>
    <x v="1"/>
    <x v="1"/>
    <x v="0"/>
    <x v="0"/>
    <x v="1"/>
  </r>
  <r>
    <x v="14"/>
    <x v="14"/>
    <x v="5"/>
    <x v="8"/>
    <x v="2"/>
    <x v="11"/>
    <x v="14"/>
    <x v="4"/>
    <x v="14"/>
    <x v="1"/>
    <x v="1"/>
    <x v="0"/>
    <x v="1"/>
    <x v="1"/>
    <x v="0"/>
    <x v="3"/>
    <x v="1"/>
  </r>
  <r>
    <x v="15"/>
    <x v="15"/>
    <x v="5"/>
    <x v="0"/>
    <x v="0"/>
    <x v="12"/>
    <x v="15"/>
    <x v="6"/>
    <x v="15"/>
    <x v="0"/>
    <x v="0"/>
    <x v="0"/>
    <x v="1"/>
    <x v="1"/>
    <x v="0"/>
    <x v="0"/>
    <x v="1"/>
  </r>
  <r>
    <x v="16"/>
    <x v="16"/>
    <x v="5"/>
    <x v="5"/>
    <x v="0"/>
    <x v="13"/>
    <x v="16"/>
    <x v="1"/>
    <x v="16"/>
    <x v="0"/>
    <x v="0"/>
    <x v="0"/>
    <x v="1"/>
    <x v="1"/>
    <x v="0"/>
    <x v="1"/>
    <x v="1"/>
  </r>
  <r>
    <x v="17"/>
    <x v="17"/>
    <x v="5"/>
    <x v="3"/>
    <x v="2"/>
    <x v="14"/>
    <x v="17"/>
    <x v="6"/>
    <x v="17"/>
    <x v="1"/>
    <x v="1"/>
    <x v="0"/>
    <x v="1"/>
    <x v="1"/>
    <x v="0"/>
    <x v="0"/>
    <x v="1"/>
  </r>
  <r>
    <x v="18"/>
    <x v="18"/>
    <x v="6"/>
    <x v="7"/>
    <x v="0"/>
    <x v="15"/>
    <x v="18"/>
    <x v="4"/>
    <x v="18"/>
    <x v="0"/>
    <x v="0"/>
    <x v="0"/>
    <x v="1"/>
    <x v="1"/>
    <x v="0"/>
    <x v="3"/>
    <x v="1"/>
  </r>
  <r>
    <x v="19"/>
    <x v="19"/>
    <x v="6"/>
    <x v="1"/>
    <x v="0"/>
    <x v="16"/>
    <x v="19"/>
    <x v="6"/>
    <x v="19"/>
    <x v="0"/>
    <x v="0"/>
    <x v="0"/>
    <x v="1"/>
    <x v="1"/>
    <x v="0"/>
    <x v="0"/>
    <x v="1"/>
  </r>
  <r>
    <x v="20"/>
    <x v="20"/>
    <x v="6"/>
    <x v="0"/>
    <x v="2"/>
    <x v="17"/>
    <x v="20"/>
    <x v="0"/>
    <x v="20"/>
    <x v="1"/>
    <x v="1"/>
    <x v="0"/>
    <x v="1"/>
    <x v="1"/>
    <x v="0"/>
    <x v="0"/>
    <x v="1"/>
  </r>
  <r>
    <x v="21"/>
    <x v="21"/>
    <x v="6"/>
    <x v="2"/>
    <x v="0"/>
    <x v="18"/>
    <x v="21"/>
    <x v="6"/>
    <x v="21"/>
    <x v="0"/>
    <x v="0"/>
    <x v="0"/>
    <x v="1"/>
    <x v="1"/>
    <x v="0"/>
    <x v="0"/>
    <x v="1"/>
  </r>
  <r>
    <x v="22"/>
    <x v="22"/>
    <x v="6"/>
    <x v="3"/>
    <x v="0"/>
    <x v="19"/>
    <x v="22"/>
    <x v="1"/>
    <x v="22"/>
    <x v="0"/>
    <x v="0"/>
    <x v="0"/>
    <x v="1"/>
    <x v="1"/>
    <x v="0"/>
    <x v="1"/>
    <x v="1"/>
  </r>
  <r>
    <x v="23"/>
    <x v="23"/>
    <x v="6"/>
    <x v="3"/>
    <x v="2"/>
    <x v="20"/>
    <x v="23"/>
    <x v="4"/>
    <x v="23"/>
    <x v="1"/>
    <x v="1"/>
    <x v="0"/>
    <x v="1"/>
    <x v="1"/>
    <x v="0"/>
    <x v="3"/>
    <x v="1"/>
  </r>
  <r>
    <x v="24"/>
    <x v="24"/>
    <x v="7"/>
    <x v="6"/>
    <x v="0"/>
    <x v="21"/>
    <x v="24"/>
    <x v="3"/>
    <x v="24"/>
    <x v="0"/>
    <x v="0"/>
    <x v="0"/>
    <x v="1"/>
    <x v="0"/>
    <x v="1"/>
    <x v="3"/>
    <x v="2"/>
  </r>
  <r>
    <x v="25"/>
    <x v="25"/>
    <x v="7"/>
    <x v="9"/>
    <x v="0"/>
    <x v="22"/>
    <x v="25"/>
    <x v="4"/>
    <x v="25"/>
    <x v="0"/>
    <x v="0"/>
    <x v="0"/>
    <x v="1"/>
    <x v="0"/>
    <x v="1"/>
    <x v="3"/>
    <x v="2"/>
  </r>
  <r>
    <x v="26"/>
    <x v="26"/>
    <x v="7"/>
    <x v="4"/>
    <x v="0"/>
    <x v="23"/>
    <x v="26"/>
    <x v="6"/>
    <x v="26"/>
    <x v="0"/>
    <x v="0"/>
    <x v="0"/>
    <x v="1"/>
    <x v="0"/>
    <x v="1"/>
    <x v="0"/>
    <x v="2"/>
  </r>
  <r>
    <x v="27"/>
    <x v="27"/>
    <x v="7"/>
    <x v="4"/>
    <x v="2"/>
    <x v="24"/>
    <x v="27"/>
    <x v="3"/>
    <x v="27"/>
    <x v="1"/>
    <x v="1"/>
    <x v="0"/>
    <x v="1"/>
    <x v="0"/>
    <x v="1"/>
    <x v="3"/>
    <x v="2"/>
  </r>
  <r>
    <x v="28"/>
    <x v="28"/>
    <x v="7"/>
    <x v="8"/>
    <x v="0"/>
    <x v="25"/>
    <x v="28"/>
    <x v="6"/>
    <x v="28"/>
    <x v="0"/>
    <x v="0"/>
    <x v="0"/>
    <x v="1"/>
    <x v="0"/>
    <x v="1"/>
    <x v="0"/>
    <x v="2"/>
  </r>
  <r>
    <x v="29"/>
    <x v="29"/>
    <x v="7"/>
    <x v="0"/>
    <x v="0"/>
    <x v="26"/>
    <x v="29"/>
    <x v="4"/>
    <x v="29"/>
    <x v="0"/>
    <x v="0"/>
    <x v="0"/>
    <x v="1"/>
    <x v="0"/>
    <x v="1"/>
    <x v="3"/>
    <x v="2"/>
  </r>
  <r>
    <x v="30"/>
    <x v="30"/>
    <x v="7"/>
    <x v="5"/>
    <x v="0"/>
    <x v="27"/>
    <x v="30"/>
    <x v="6"/>
    <x v="30"/>
    <x v="0"/>
    <x v="0"/>
    <x v="0"/>
    <x v="1"/>
    <x v="0"/>
    <x v="1"/>
    <x v="0"/>
    <x v="2"/>
  </r>
  <r>
    <x v="31"/>
    <x v="31"/>
    <x v="8"/>
    <x v="6"/>
    <x v="0"/>
    <x v="28"/>
    <x v="31"/>
    <x v="4"/>
    <x v="31"/>
    <x v="0"/>
    <x v="0"/>
    <x v="0"/>
    <x v="1"/>
    <x v="0"/>
    <x v="1"/>
    <x v="3"/>
    <x v="2"/>
  </r>
  <r>
    <x v="32"/>
    <x v="32"/>
    <x v="8"/>
    <x v="4"/>
    <x v="0"/>
    <x v="29"/>
    <x v="32"/>
    <x v="1"/>
    <x v="32"/>
    <x v="0"/>
    <x v="0"/>
    <x v="0"/>
    <x v="1"/>
    <x v="0"/>
    <x v="1"/>
    <x v="1"/>
    <x v="2"/>
  </r>
  <r>
    <x v="33"/>
    <x v="33"/>
    <x v="8"/>
    <x v="4"/>
    <x v="2"/>
    <x v="30"/>
    <x v="33"/>
    <x v="3"/>
    <x v="33"/>
    <x v="1"/>
    <x v="1"/>
    <x v="0"/>
    <x v="1"/>
    <x v="0"/>
    <x v="1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6">
  <location ref="A115:F124" firstHeaderRow="1" firstDataRow="2" firstDataCol="1" rowPageCount="1" colPageCount="1"/>
  <pivotFields count="9">
    <pivotField axis="axisPage" compact="0" multipleItemSelectionAllowed="1" showAll="0">
      <items count="17">
        <item h="1" x="12"/>
        <item h="1" x="13"/>
        <item h="1" x="14"/>
        <item h="1" x="15"/>
        <item h="1" x="9"/>
        <item h="1" x="10"/>
        <item h="1" x="11"/>
        <item h="1" x="7"/>
        <item h="1" x="8"/>
        <item h="1" x="5"/>
        <item h="1" x="6"/>
        <item h="1" x="0"/>
        <item h="1" x="1"/>
        <item x="2"/>
        <item h="1" x="3"/>
        <item h="1" x="4"/>
        <item t="default"/>
      </items>
    </pivotField>
    <pivotField compact="0" showAll="0">
      <items count="17">
        <item x="10"/>
        <item x="4"/>
        <item x="15"/>
        <item x="11"/>
        <item x="2"/>
        <item x="8"/>
        <item x="13"/>
        <item x="14"/>
        <item x="1"/>
        <item x="6"/>
        <item x="7"/>
        <item x="3"/>
        <item x="12"/>
        <item x="0"/>
        <item x="5"/>
        <item x="9"/>
        <item t="default"/>
      </items>
    </pivotField>
    <pivotField compact="0" showAll="0">
      <items count="10">
        <item x="6"/>
        <item x="3"/>
        <item x="5"/>
        <item x="7"/>
        <item x="2"/>
        <item x="4"/>
        <item x="8"/>
        <item x="0"/>
        <item x="1"/>
        <item t="default"/>
      </items>
    </pivotField>
    <pivotField compact="0" showAll="0">
      <items count="15">
        <item x="0"/>
        <item x="5"/>
        <item x="1"/>
        <item x="2"/>
        <item x="7"/>
        <item x="9"/>
        <item x="6"/>
        <item x="3"/>
        <item x="10"/>
        <item x="8"/>
        <item x="4"/>
        <item x="13"/>
        <item x="11"/>
        <item x="12"/>
        <item t="default"/>
      </items>
    </pivotField>
    <pivotField compact="0" showAll="0">
      <items count="7">
        <item x="0"/>
        <item x="1"/>
        <item x="5"/>
        <item x="2"/>
        <item x="3"/>
        <item x="4"/>
        <item t="default"/>
      </items>
    </pivotField>
    <pivotField dataField="1" compact="0" showAll="0">
      <items count="277">
        <item x="0"/>
        <item x="135"/>
        <item x="138"/>
        <item x="177"/>
        <item x="119"/>
        <item x="252"/>
        <item x="158"/>
        <item x="136"/>
        <item x="263"/>
        <item x="231"/>
        <item x="137"/>
        <item x="150"/>
        <item x="178"/>
        <item x="82"/>
        <item x="125"/>
        <item x="139"/>
        <item x="243"/>
        <item x="50"/>
        <item x="159"/>
        <item x="118"/>
        <item x="239"/>
        <item x="120"/>
        <item x="270"/>
        <item x="179"/>
        <item x="51"/>
        <item x="253"/>
        <item x="140"/>
        <item x="85"/>
        <item x="145"/>
        <item x="180"/>
        <item x="182"/>
        <item x="55"/>
        <item x="184"/>
        <item x="147"/>
        <item x="143"/>
        <item x="183"/>
        <item x="144"/>
        <item x="47"/>
        <item x="142"/>
        <item x="148"/>
        <item x="181"/>
        <item x="146"/>
        <item x="149"/>
        <item x="122"/>
        <item x="61"/>
        <item x="141"/>
        <item x="91"/>
        <item x="164"/>
        <item x="80"/>
        <item x="81"/>
        <item x="151"/>
        <item x="232"/>
        <item x="185"/>
        <item x="121"/>
        <item x="259"/>
        <item x="123"/>
        <item x="161"/>
        <item x="264"/>
        <item x="1"/>
        <item x="163"/>
        <item x="162"/>
        <item x="225"/>
        <item x="160"/>
        <item x="255"/>
        <item x="124"/>
        <item x="254"/>
        <item x="258"/>
        <item x="116"/>
        <item x="126"/>
        <item x="260"/>
        <item x="244"/>
        <item x="45"/>
        <item x="256"/>
        <item x="257"/>
        <item x="11"/>
        <item x="261"/>
        <item x="46"/>
        <item x="262"/>
        <item x="267"/>
        <item x="117"/>
        <item x="233"/>
        <item x="271"/>
        <item x="265"/>
        <item x="52"/>
        <item x="235"/>
        <item x="234"/>
        <item x="155"/>
        <item x="153"/>
        <item x="268"/>
        <item x="157"/>
        <item x="69"/>
        <item x="154"/>
        <item x="102"/>
        <item x="152"/>
        <item x="266"/>
        <item x="129"/>
        <item x="240"/>
        <item x="5"/>
        <item x="237"/>
        <item x="236"/>
        <item x="86"/>
        <item x="245"/>
        <item x="238"/>
        <item x="132"/>
        <item x="246"/>
        <item x="218"/>
        <item x="56"/>
        <item x="49"/>
        <item x="248"/>
        <item x="48"/>
        <item x="156"/>
        <item x="62"/>
        <item x="130"/>
        <item x="269"/>
        <item x="131"/>
        <item x="210"/>
        <item x="251"/>
        <item x="84"/>
        <item x="247"/>
        <item x="250"/>
        <item x="19"/>
        <item x="133"/>
        <item x="128"/>
        <item x="92"/>
        <item x="249"/>
        <item x="127"/>
        <item x="83"/>
        <item x="219"/>
        <item x="165"/>
        <item x="30"/>
        <item x="203"/>
        <item x="272"/>
        <item x="134"/>
        <item x="275"/>
        <item x="274"/>
        <item x="273"/>
        <item x="226"/>
        <item x="2"/>
        <item x="87"/>
        <item x="53"/>
        <item x="59"/>
        <item x="57"/>
        <item x="89"/>
        <item x="65"/>
        <item x="88"/>
        <item x="242"/>
        <item x="58"/>
        <item x="90"/>
        <item x="54"/>
        <item x="12"/>
        <item x="241"/>
        <item x="103"/>
        <item x="204"/>
        <item x="96"/>
        <item x="6"/>
        <item x="63"/>
        <item x="174"/>
        <item x="168"/>
        <item x="99"/>
        <item x="95"/>
        <item x="66"/>
        <item x="173"/>
        <item x="67"/>
        <item x="175"/>
        <item x="167"/>
        <item x="176"/>
        <item x="98"/>
        <item x="60"/>
        <item x="93"/>
        <item x="94"/>
        <item x="70"/>
        <item x="171"/>
        <item x="172"/>
        <item x="169"/>
        <item x="170"/>
        <item x="64"/>
        <item x="166"/>
        <item x="195"/>
        <item x="101"/>
        <item x="100"/>
        <item x="97"/>
        <item x="194"/>
        <item x="228"/>
        <item x="68"/>
        <item x="227"/>
        <item x="20"/>
        <item x="229"/>
        <item x="230"/>
        <item x="13"/>
        <item x="3"/>
        <item x="211"/>
        <item x="16"/>
        <item x="4"/>
        <item x="31"/>
        <item x="113"/>
        <item x="220"/>
        <item x="74"/>
        <item x="76"/>
        <item x="77"/>
        <item x="8"/>
        <item x="108"/>
        <item x="14"/>
        <item x="109"/>
        <item x="111"/>
        <item x="107"/>
        <item x="110"/>
        <item x="72"/>
        <item x="18"/>
        <item x="17"/>
        <item x="15"/>
        <item x="79"/>
        <item x="104"/>
        <item x="73"/>
        <item x="106"/>
        <item x="112"/>
        <item x="78"/>
        <item x="75"/>
        <item x="115"/>
        <item x="7"/>
        <item x="71"/>
        <item x="114"/>
        <item x="105"/>
        <item x="10"/>
        <item x="9"/>
        <item x="22"/>
        <item x="26"/>
        <item x="27"/>
        <item x="24"/>
        <item x="214"/>
        <item x="205"/>
        <item x="25"/>
        <item x="28"/>
        <item x="43"/>
        <item x="23"/>
        <item x="29"/>
        <item x="221"/>
        <item x="36"/>
        <item x="38"/>
        <item x="223"/>
        <item x="215"/>
        <item x="34"/>
        <item x="21"/>
        <item x="41"/>
        <item x="212"/>
        <item x="44"/>
        <item x="37"/>
        <item x="196"/>
        <item x="40"/>
        <item x="35"/>
        <item x="222"/>
        <item x="42"/>
        <item x="33"/>
        <item x="32"/>
        <item x="39"/>
        <item x="213"/>
        <item x="224"/>
        <item x="217"/>
        <item x="216"/>
        <item x="186"/>
        <item x="207"/>
        <item x="206"/>
        <item x="208"/>
        <item x="209"/>
        <item x="197"/>
        <item x="200"/>
        <item x="187"/>
        <item x="201"/>
        <item x="198"/>
        <item x="199"/>
        <item x="202"/>
        <item x="190"/>
        <item x="191"/>
        <item x="189"/>
        <item x="192"/>
        <item x="188"/>
        <item x="193"/>
        <item t="default"/>
      </items>
    </pivotField>
    <pivotField compact="0" showAll="0">
      <items count="15">
        <item x="4"/>
        <item x="8"/>
        <item x="11"/>
        <item x="10"/>
        <item x="3"/>
        <item x="9"/>
        <item x="12"/>
        <item x="2"/>
        <item x="13"/>
        <item x="1"/>
        <item x="0"/>
        <item x="7"/>
        <item x="5"/>
        <item x="6"/>
        <item t="default"/>
      </items>
    </pivotField>
    <pivotField axis="axisCol" compact="0" showAll="0">
      <items count="5">
        <item x="1"/>
        <item x="0"/>
        <item x="3"/>
        <item x="2"/>
        <item t="default"/>
      </items>
    </pivotField>
    <pivotField axis="axisRow" compact="0" showAll="0">
      <items count="8">
        <item x="6"/>
        <item x="3"/>
        <item x="2"/>
        <item x="5"/>
        <item x="4"/>
        <item x="0"/>
        <item x="1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0" hier="0"/>
  </pageFields>
  <dataFields count="1">
    <dataField name="Sum of Monthly_wafer_capacity" fld="5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8">
  <location ref="A9:I16" firstHeaderRow="1" firstDataRow="2" firstDataCol="1"/>
  <pivotFields count="13">
    <pivotField axis="axisCol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1">
        <item x="8"/>
        <item x="9"/>
        <item x="10"/>
        <item x="11"/>
        <item x="28"/>
        <item x="29"/>
        <item x="19"/>
        <item x="18"/>
        <item x="27"/>
        <item x="20"/>
        <item x="12"/>
        <item x="13"/>
        <item x="14"/>
        <item x="15"/>
        <item x="16"/>
        <item x="17"/>
        <item x="21"/>
        <item x="24"/>
        <item x="25"/>
        <item x="26"/>
        <item x="1"/>
        <item x="5"/>
        <item x="7"/>
        <item x="6"/>
        <item x="2"/>
        <item x="3"/>
        <item x="4"/>
        <item x="0"/>
        <item x="22"/>
        <item x="23"/>
        <item t="default"/>
      </items>
    </pivotField>
    <pivotField axis="axisRow" compact="0" multipleItemSelectionAllowed="1" showAll="0">
      <items count="12">
        <item x="1"/>
        <item h="1" x="10"/>
        <item x="3"/>
        <item h="1" x="9"/>
        <item h="1" x="4"/>
        <item x="2"/>
        <item h="1" x="5"/>
        <item x="8"/>
        <item x="0"/>
        <item h="1" x="6"/>
        <item h="1" x="7"/>
        <item t="default"/>
      </items>
    </pivotField>
    <pivotField compact="0" numFmtId="166" showAll="0">
      <items count="28">
        <item x="0"/>
        <item x="11"/>
        <item x="22"/>
        <item x="1"/>
        <item x="12"/>
        <item x="7"/>
        <item x="24"/>
        <item x="17"/>
        <item x="2"/>
        <item x="4"/>
        <item x="13"/>
        <item x="20"/>
        <item x="8"/>
        <item x="19"/>
        <item x="18"/>
        <item x="3"/>
        <item x="25"/>
        <item x="14"/>
        <item x="21"/>
        <item x="23"/>
        <item x="9"/>
        <item x="5"/>
        <item x="16"/>
        <item x="10"/>
        <item x="26"/>
        <item x="15"/>
        <item x="6"/>
        <item t="default"/>
      </items>
    </pivotField>
    <pivotField compact="0" showAll="0">
      <items count="17">
        <item x="13"/>
        <item x="10"/>
        <item x="0"/>
        <item x="1"/>
        <item x="4"/>
        <item x="12"/>
        <item x="2"/>
        <item x="11"/>
        <item x="8"/>
        <item x="3"/>
        <item x="5"/>
        <item x="14"/>
        <item x="9"/>
        <item x="7"/>
        <item x="6"/>
        <item x="15"/>
        <item t="default"/>
      </items>
    </pivotField>
    <pivotField compact="0" numFmtId="2" showAll="0">
      <items count="28">
        <item x="25"/>
        <item x="26"/>
        <item x="0"/>
        <item x="10"/>
        <item x="17"/>
        <item x="12"/>
        <item x="22"/>
        <item x="11"/>
        <item x="1"/>
        <item x="3"/>
        <item x="7"/>
        <item x="13"/>
        <item x="20"/>
        <item x="23"/>
        <item x="16"/>
        <item x="21"/>
        <item x="19"/>
        <item x="24"/>
        <item x="14"/>
        <item x="2"/>
        <item x="18"/>
        <item x="8"/>
        <item x="15"/>
        <item x="9"/>
        <item x="4"/>
        <item x="6"/>
        <item x="5"/>
        <item t="default"/>
      </items>
    </pivotField>
    <pivotField compact="0" numFmtId="2" showAll="0">
      <items count="21">
        <item x="18"/>
        <item x="19"/>
        <item x="10"/>
        <item x="12"/>
        <item x="11"/>
        <item x="9"/>
        <item x="17"/>
        <item x="0"/>
        <item x="14"/>
        <item x="3"/>
        <item x="15"/>
        <item x="1"/>
        <item x="16"/>
        <item x="7"/>
        <item x="2"/>
        <item x="8"/>
        <item x="4"/>
        <item x="6"/>
        <item x="5"/>
        <item x="13"/>
        <item t="default"/>
      </items>
    </pivotField>
    <pivotField compact="0" numFmtId="2" showAll="0">
      <items count="116">
        <item x="31"/>
        <item x="33"/>
        <item x="104"/>
        <item x="113"/>
        <item x="87"/>
        <item x="51"/>
        <item x="37"/>
        <item x="94"/>
        <item x="45"/>
        <item x="108"/>
        <item x="53"/>
        <item x="54"/>
        <item x="50"/>
        <item x="38"/>
        <item x="49"/>
        <item x="59"/>
        <item x="93"/>
        <item x="109"/>
        <item x="110"/>
        <item x="52"/>
        <item x="95"/>
        <item x="58"/>
        <item x="77"/>
        <item x="96"/>
        <item x="83"/>
        <item x="57"/>
        <item x="92"/>
        <item x="36"/>
        <item x="48"/>
        <item x="107"/>
        <item x="35"/>
        <item x="79"/>
        <item x="47"/>
        <item x="112"/>
        <item x="70"/>
        <item x="114"/>
        <item x="91"/>
        <item x="106"/>
        <item x="88"/>
        <item x="56"/>
        <item x="89"/>
        <item x="32"/>
        <item x="34"/>
        <item x="105"/>
        <item x="86"/>
        <item x="90"/>
        <item x="111"/>
        <item x="78"/>
        <item x="55"/>
        <item x="46"/>
        <item x="5"/>
        <item x="28"/>
        <item x="3"/>
        <item x="42"/>
        <item x="1"/>
        <item x="6"/>
        <item x="2"/>
        <item x="85"/>
        <item x="84"/>
        <item x="101"/>
        <item x="4"/>
        <item x="25"/>
        <item x="0"/>
        <item x="80"/>
        <item x="76"/>
        <item x="82"/>
        <item x="81"/>
        <item x="12"/>
        <item x="11"/>
        <item x="97"/>
        <item x="7"/>
        <item x="103"/>
        <item x="13"/>
        <item x="44"/>
        <item x="30"/>
        <item x="102"/>
        <item x="29"/>
        <item x="67"/>
        <item x="21"/>
        <item x="43"/>
        <item x="60"/>
        <item x="75"/>
        <item x="71"/>
        <item x="10"/>
        <item x="72"/>
        <item x="27"/>
        <item x="100"/>
        <item x="66"/>
        <item x="74"/>
        <item x="18"/>
        <item x="24"/>
        <item x="26"/>
        <item x="9"/>
        <item x="41"/>
        <item x="73"/>
        <item x="8"/>
        <item x="65"/>
        <item x="99"/>
        <item x="69"/>
        <item x="63"/>
        <item x="64"/>
        <item x="68"/>
        <item x="22"/>
        <item x="98"/>
        <item x="23"/>
        <item x="40"/>
        <item x="39"/>
        <item x="20"/>
        <item x="62"/>
        <item x="19"/>
        <item x="14"/>
        <item x="61"/>
        <item x="17"/>
        <item x="16"/>
        <item x="15"/>
        <item t="default"/>
      </items>
    </pivotField>
    <pivotField compact="0" numFmtId="2" showAll="0">
      <items count="12">
        <item x="8"/>
        <item x="0"/>
        <item x="6"/>
        <item x="10"/>
        <item x="7"/>
        <item x="1"/>
        <item x="2"/>
        <item x="3"/>
        <item x="5"/>
        <item x="4"/>
        <item x="9"/>
        <item t="default"/>
      </items>
    </pivotField>
    <pivotField dataField="1" compact="0" numFmtId="2" showAll="0">
      <items count="101">
        <item x="31"/>
        <item x="33"/>
        <item x="92"/>
        <item x="98"/>
        <item x="78"/>
        <item x="37"/>
        <item x="83"/>
        <item x="45"/>
        <item x="51"/>
        <item x="49"/>
        <item x="38"/>
        <item x="56"/>
        <item x="96"/>
        <item x="50"/>
        <item x="55"/>
        <item x="84"/>
        <item x="74"/>
        <item x="54"/>
        <item x="82"/>
        <item x="36"/>
        <item x="48"/>
        <item x="95"/>
        <item x="35"/>
        <item x="47"/>
        <item x="97"/>
        <item x="61"/>
        <item x="99"/>
        <item x="81"/>
        <item x="94"/>
        <item x="79"/>
        <item x="53"/>
        <item x="34"/>
        <item x="93"/>
        <item x="77"/>
        <item x="80"/>
        <item x="52"/>
        <item x="46"/>
        <item x="32"/>
        <item x="5"/>
        <item x="3"/>
        <item x="1"/>
        <item x="6"/>
        <item x="2"/>
        <item x="76"/>
        <item x="75"/>
        <item x="4"/>
        <item x="42"/>
        <item x="89"/>
        <item x="0"/>
        <item x="71"/>
        <item x="28"/>
        <item x="25"/>
        <item x="67"/>
        <item x="73"/>
        <item x="72"/>
        <item x="12"/>
        <item x="11"/>
        <item x="85"/>
        <item x="7"/>
        <item x="13"/>
        <item x="68"/>
        <item x="91"/>
        <item x="21"/>
        <item x="90"/>
        <item x="44"/>
        <item x="57"/>
        <item x="66"/>
        <item x="62"/>
        <item x="43"/>
        <item x="10"/>
        <item x="63"/>
        <item x="88"/>
        <item x="65"/>
        <item x="24"/>
        <item x="70"/>
        <item x="9"/>
        <item x="30"/>
        <item x="64"/>
        <item x="69"/>
        <item x="41"/>
        <item x="29"/>
        <item x="27"/>
        <item x="8"/>
        <item x="87"/>
        <item x="60"/>
        <item x="18"/>
        <item x="26"/>
        <item x="22"/>
        <item x="86"/>
        <item x="23"/>
        <item x="40"/>
        <item x="59"/>
        <item x="39"/>
        <item x="58"/>
        <item x="20"/>
        <item x="14"/>
        <item x="19"/>
        <item x="17"/>
        <item x="16"/>
        <item x="15"/>
        <item t="default"/>
      </items>
    </pivotField>
    <pivotField compact="0" showAll="0">
      <items count="31">
        <item x="16"/>
        <item x="4"/>
        <item x="1"/>
        <item x="19"/>
        <item x="18"/>
        <item x="6"/>
        <item x="7"/>
        <item x="5"/>
        <item x="8"/>
        <item x="9"/>
        <item x="11"/>
        <item x="27"/>
        <item x="28"/>
        <item x="14"/>
        <item x="25"/>
        <item x="3"/>
        <item x="2"/>
        <item x="21"/>
        <item x="24"/>
        <item x="12"/>
        <item x="26"/>
        <item x="29"/>
        <item x="10"/>
        <item x="15"/>
        <item x="22"/>
        <item x="23"/>
        <item x="13"/>
        <item x="17"/>
        <item x="0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2" showAll="0">
      <items count="28">
        <item x="18"/>
        <item x="0"/>
        <item x="11"/>
        <item x="7"/>
        <item x="1"/>
        <item x="22"/>
        <item x="25"/>
        <item x="3"/>
        <item x="17"/>
        <item x="13"/>
        <item x="9"/>
        <item x="23"/>
        <item x="2"/>
        <item x="12"/>
        <item x="26"/>
        <item x="20"/>
        <item x="8"/>
        <item x="24"/>
        <item x="10"/>
        <item x="5"/>
        <item x="19"/>
        <item x="4"/>
        <item x="21"/>
        <item x="6"/>
        <item x="14"/>
        <item x="15"/>
        <item x="16"/>
        <item t="default"/>
      </items>
    </pivotField>
  </pivotFields>
  <rowFields count="1">
    <field x="2"/>
  </rowFields>
  <rowItems count="6">
    <i>
      <x/>
    </i>
    <i>
      <x v="2"/>
    </i>
    <i>
      <x v="5"/>
    </i>
    <i>
      <x v="7"/>
    </i>
    <i>
      <x v="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Estimated_revenue_usd_m" fld="9" baseField="0" baseItem="0"/>
  </dataFields>
  <chartFormats count="7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6">
  <location ref="A129:D142" firstHeaderRow="0" firstDataRow="1" firstDataCol="2"/>
  <pivotFields count="17">
    <pivotField dataField="1"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numFmtId="166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Row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1">
        <item x="6"/>
        <item x="9"/>
        <item x="7"/>
        <item x="4"/>
        <item x="1"/>
        <item x="8"/>
        <item x="0"/>
        <item x="2"/>
        <item x="5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2">
        <item x="25"/>
        <item x="17"/>
        <item x="9"/>
        <item x="21"/>
        <item x="6"/>
        <item x="13"/>
        <item x="15"/>
        <item x="4"/>
        <item x="19"/>
        <item x="26"/>
        <item x="20"/>
        <item x="11"/>
        <item x="22"/>
        <item x="1"/>
        <item x="16"/>
        <item x="10"/>
        <item x="8"/>
        <item x="5"/>
        <item x="12"/>
        <item x="3"/>
        <item x="18"/>
        <item x="14"/>
        <item x="24"/>
        <item x="30"/>
        <item x="28"/>
        <item x="23"/>
        <item x="29"/>
        <item x="2"/>
        <item x="27"/>
        <item x="7"/>
        <item x="0"/>
        <item t="default"/>
      </items>
    </pivotField>
    <pivotField compact="0" showAll="0">
      <items count="35">
        <item x="18"/>
        <item x="8"/>
        <item x="28"/>
        <item x="24"/>
        <item x="20"/>
        <item x="30"/>
        <item x="11"/>
        <item x="32"/>
        <item x="7"/>
        <item x="9"/>
        <item x="31"/>
        <item x="22"/>
        <item x="0"/>
        <item x="5"/>
        <item x="29"/>
        <item x="12"/>
        <item x="15"/>
        <item x="14"/>
        <item x="3"/>
        <item x="4"/>
        <item x="25"/>
        <item x="27"/>
        <item x="33"/>
        <item x="1"/>
        <item x="13"/>
        <item x="16"/>
        <item x="21"/>
        <item x="17"/>
        <item x="19"/>
        <item x="26"/>
        <item x="6"/>
        <item x="2"/>
        <item x="23"/>
        <item x="10"/>
        <item t="default"/>
      </items>
    </pivotField>
    <pivotField dataField="1" compact="0" showAll="0">
      <items count="8">
        <item x="2"/>
        <item x="0"/>
        <item x="6"/>
        <item x="4"/>
        <item x="3"/>
        <item x="1"/>
        <item x="5"/>
        <item t="default"/>
      </items>
    </pivotField>
    <pivotField compact="0" showAll="0">
      <items count="35">
        <item x="7"/>
        <item x="22"/>
        <item x="6"/>
        <item x="2"/>
        <item x="8"/>
        <item x="18"/>
        <item x="29"/>
        <item x="21"/>
        <item x="13"/>
        <item x="17"/>
        <item x="14"/>
        <item x="33"/>
        <item x="20"/>
        <item x="12"/>
        <item x="27"/>
        <item x="4"/>
        <item x="3"/>
        <item x="16"/>
        <item x="1"/>
        <item x="19"/>
        <item x="11"/>
        <item x="25"/>
        <item x="15"/>
        <item x="32"/>
        <item x="5"/>
        <item x="9"/>
        <item x="30"/>
        <item x="24"/>
        <item x="23"/>
        <item x="28"/>
        <item x="26"/>
        <item x="31"/>
        <item x="10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axis="axisRow" compact="0" showAll="0">
      <items count="4">
        <item x="1"/>
        <item x="0"/>
        <item x="2"/>
        <item t="default"/>
      </items>
    </pivotField>
  </pivotFields>
  <rowFields count="2">
    <field x="16"/>
    <field x="2"/>
  </rowFields>
  <rowItems count="13">
    <i>
      <x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>
      <x v="2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everity_score" fld="7" baseField="0" baseItem="0"/>
    <dataField name="Count of Control_id" fld="0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6">
  <location ref="A27:AP44" firstHeaderRow="1" firstDataRow="2" firstDataCol="1" rowPageCount="1" colPageCount="1"/>
  <pivotFields count="14">
    <pivotField axis="axisRow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compact="0" multipleItemSelectionAllowed="1" showAll="0">
      <items count="41">
        <item x="6"/>
        <item x="16"/>
        <item x="24"/>
        <item x="23"/>
        <item x="8"/>
        <item x="30"/>
        <item x="35"/>
        <item x="33"/>
        <item x="2"/>
        <item x="36"/>
        <item x="37"/>
        <item x="31"/>
        <item x="34"/>
        <item x="17"/>
        <item x="11"/>
        <item x="26"/>
        <item x="25"/>
        <item x="10"/>
        <item x="9"/>
        <item x="21"/>
        <item x="14"/>
        <item x="5"/>
        <item x="19"/>
        <item x="22"/>
        <item x="7"/>
        <item x="20"/>
        <item x="38"/>
        <item x="1"/>
        <item x="12"/>
        <item x="28"/>
        <item x="13"/>
        <item x="4"/>
        <item x="18"/>
        <item x="29"/>
        <item x="39"/>
        <item x="15"/>
        <item x="27"/>
        <item x="0"/>
        <item x="3"/>
        <item x="32"/>
        <item t="default"/>
      </items>
    </pivotField>
    <pivotField compact="0" showAll="0">
      <items count="40">
        <item x="33"/>
        <item x="9"/>
        <item x="19"/>
        <item x="27"/>
        <item x="26"/>
        <item x="12"/>
        <item x="1"/>
        <item x="4"/>
        <item x="15"/>
        <item x="23"/>
        <item x="6"/>
        <item x="22"/>
        <item x="8"/>
        <item x="29"/>
        <item x="34"/>
        <item x="32"/>
        <item x="2"/>
        <item x="35"/>
        <item x="36"/>
        <item x="30"/>
        <item x="16"/>
        <item x="11"/>
        <item x="25"/>
        <item x="24"/>
        <item x="20"/>
        <item x="10"/>
        <item x="13"/>
        <item x="5"/>
        <item x="18"/>
        <item x="21"/>
        <item x="7"/>
        <item x="37"/>
        <item x="28"/>
        <item x="17"/>
        <item x="38"/>
        <item x="0"/>
        <item x="14"/>
        <item x="3"/>
        <item x="31"/>
        <item t="default"/>
      </items>
    </pivotField>
    <pivotField compact="0" showAll="0">
      <items count="10">
        <item x="3"/>
        <item x="4"/>
        <item x="5"/>
        <item x="8"/>
        <item x="7"/>
        <item x="1"/>
        <item x="6"/>
        <item x="0"/>
        <item x="2"/>
        <item t="default"/>
      </items>
    </pivotField>
    <pivotField compact="0" showAll="0">
      <items count="21">
        <item x="18"/>
        <item x="17"/>
        <item x="14"/>
        <item x="15"/>
        <item x="16"/>
        <item x="13"/>
        <item x="19"/>
        <item x="2"/>
        <item x="4"/>
        <item x="1"/>
        <item x="3"/>
        <item x="5"/>
        <item x="0"/>
        <item x="8"/>
        <item x="9"/>
        <item x="6"/>
        <item x="10"/>
        <item x="7"/>
        <item x="11"/>
        <item x="12"/>
        <item t="default"/>
      </items>
    </pivotField>
    <pivotField dataField="1" compact="0" showAll="0">
      <items count="538">
        <item x="518"/>
        <item x="534"/>
        <item x="527"/>
        <item x="528"/>
        <item x="525"/>
        <item x="526"/>
        <item x="524"/>
        <item x="489"/>
        <item x="519"/>
        <item x="490"/>
        <item x="520"/>
        <item x="497"/>
        <item x="532"/>
        <item x="529"/>
        <item x="491"/>
        <item x="506"/>
        <item x="505"/>
        <item x="507"/>
        <item x="508"/>
        <item x="509"/>
        <item x="535"/>
        <item x="510"/>
        <item x="521"/>
        <item x="512"/>
        <item x="511"/>
        <item x="533"/>
        <item x="513"/>
        <item x="498"/>
        <item x="463"/>
        <item x="476"/>
        <item x="514"/>
        <item x="464"/>
        <item x="536"/>
        <item x="465"/>
        <item x="492"/>
        <item x="530"/>
        <item x="466"/>
        <item x="451"/>
        <item x="499"/>
        <item x="338"/>
        <item x="452"/>
        <item x="339"/>
        <item x="477"/>
        <item x="65"/>
        <item x="522"/>
        <item x="412"/>
        <item x="340"/>
        <item x="453"/>
        <item x="515"/>
        <item x="467"/>
        <item x="66"/>
        <item x="68"/>
        <item x="67"/>
        <item x="341"/>
        <item x="342"/>
        <item x="468"/>
        <item x="531"/>
        <item x="440"/>
        <item x="454"/>
        <item x="69"/>
        <item x="414"/>
        <item x="413"/>
        <item x="441"/>
        <item x="343"/>
        <item x="70"/>
        <item x="517"/>
        <item x="478"/>
        <item x="443"/>
        <item x="455"/>
        <item x="500"/>
        <item x="353"/>
        <item x="442"/>
        <item x="516"/>
        <item x="415"/>
        <item x="170"/>
        <item x="469"/>
        <item x="523"/>
        <item x="444"/>
        <item x="456"/>
        <item x="354"/>
        <item x="168"/>
        <item x="398"/>
        <item x="169"/>
        <item x="470"/>
        <item x="171"/>
        <item x="71"/>
        <item x="355"/>
        <item x="447"/>
        <item x="167"/>
        <item x="166"/>
        <item x="416"/>
        <item x="446"/>
        <item x="479"/>
        <item x="457"/>
        <item x="344"/>
        <item x="260"/>
        <item x="445"/>
        <item x="72"/>
        <item x="165"/>
        <item x="261"/>
        <item x="17"/>
        <item x="501"/>
        <item x="417"/>
        <item x="262"/>
        <item x="356"/>
        <item x="448"/>
        <item x="471"/>
        <item x="73"/>
        <item x="263"/>
        <item x="345"/>
        <item x="264"/>
        <item x="480"/>
        <item x="163"/>
        <item x="265"/>
        <item x="164"/>
        <item x="82"/>
        <item x="472"/>
        <item x="146"/>
        <item x="357"/>
        <item x="34"/>
        <item x="74"/>
        <item x="418"/>
        <item x="35"/>
        <item x="18"/>
        <item x="399"/>
        <item x="83"/>
        <item x="458"/>
        <item x="75"/>
        <item x="132"/>
        <item x="84"/>
        <item x="103"/>
        <item x="36"/>
        <item x="449"/>
        <item x="502"/>
        <item x="346"/>
        <item x="493"/>
        <item x="450"/>
        <item x="147"/>
        <item x="266"/>
        <item x="400"/>
        <item x="351"/>
        <item x="19"/>
        <item x="51"/>
        <item x="50"/>
        <item x="37"/>
        <item x="459"/>
        <item x="358"/>
        <item x="473"/>
        <item x="307"/>
        <item x="401"/>
        <item x="102"/>
        <item x="53"/>
        <item x="278"/>
        <item x="277"/>
        <item x="172"/>
        <item x="85"/>
        <item x="52"/>
        <item x="38"/>
        <item x="86"/>
        <item x="54"/>
        <item x="347"/>
        <item x="308"/>
        <item x="460"/>
        <item x="55"/>
        <item x="419"/>
        <item x="148"/>
        <item x="104"/>
        <item x="474"/>
        <item x="43"/>
        <item x="481"/>
        <item x="267"/>
        <item x="39"/>
        <item x="361"/>
        <item x="279"/>
        <item x="56"/>
        <item x="402"/>
        <item x="494"/>
        <item x="87"/>
        <item x="20"/>
        <item x="430"/>
        <item x="57"/>
        <item x="348"/>
        <item x="101"/>
        <item x="309"/>
        <item x="174"/>
        <item x="40"/>
        <item x="76"/>
        <item x="429"/>
        <item x="149"/>
        <item x="360"/>
        <item x="105"/>
        <item x="21"/>
        <item x="310"/>
        <item x="461"/>
        <item x="475"/>
        <item x="41"/>
        <item x="270"/>
        <item x="428"/>
        <item x="175"/>
        <item x="100"/>
        <item x="311"/>
        <item x="503"/>
        <item x="173"/>
        <item x="269"/>
        <item x="312"/>
        <item x="359"/>
        <item x="42"/>
        <item x="150"/>
        <item x="58"/>
        <item x="427"/>
        <item x="99"/>
        <item x="133"/>
        <item x="268"/>
        <item x="426"/>
        <item x="151"/>
        <item x="368"/>
        <item x="106"/>
        <item x="88"/>
        <item x="370"/>
        <item x="22"/>
        <item x="329"/>
        <item x="47"/>
        <item x="280"/>
        <item x="369"/>
        <item x="482"/>
        <item x="330"/>
        <item x="44"/>
        <item x="367"/>
        <item x="371"/>
        <item x="78"/>
        <item x="486"/>
        <item x="462"/>
        <item x="331"/>
        <item x="328"/>
        <item x="352"/>
        <item x="61"/>
        <item x="425"/>
        <item x="504"/>
        <item x="134"/>
        <item x="152"/>
        <item x="349"/>
        <item x="46"/>
        <item x="295"/>
        <item x="326"/>
        <item x="77"/>
        <item x="372"/>
        <item x="176"/>
        <item x="362"/>
        <item x="327"/>
        <item x="403"/>
        <item x="48"/>
        <item x="431"/>
        <item x="153"/>
        <item x="62"/>
        <item x="49"/>
        <item x="420"/>
        <item x="483"/>
        <item x="313"/>
        <item x="495"/>
        <item x="294"/>
        <item x="59"/>
        <item x="350"/>
        <item x="154"/>
        <item x="314"/>
        <item x="296"/>
        <item x="45"/>
        <item x="281"/>
        <item x="365"/>
        <item x="282"/>
        <item x="64"/>
        <item x="63"/>
        <item x="293"/>
        <item x="107"/>
        <item x="79"/>
        <item x="373"/>
        <item x="89"/>
        <item x="364"/>
        <item x="363"/>
        <item x="332"/>
        <item x="23"/>
        <item x="283"/>
        <item x="297"/>
        <item x="496"/>
        <item x="177"/>
        <item x="271"/>
        <item x="227"/>
        <item x="387"/>
        <item x="316"/>
        <item x="366"/>
        <item x="284"/>
        <item x="386"/>
        <item x="315"/>
        <item x="292"/>
        <item x="484"/>
        <item x="325"/>
        <item x="298"/>
        <item x="385"/>
        <item x="335"/>
        <item x="383"/>
        <item x="60"/>
        <item x="291"/>
        <item x="274"/>
        <item x="384"/>
        <item x="432"/>
        <item x="90"/>
        <item x="155"/>
        <item x="108"/>
        <item x="290"/>
        <item x="422"/>
        <item x="228"/>
        <item x="300"/>
        <item x="421"/>
        <item x="80"/>
        <item x="334"/>
        <item x="405"/>
        <item x="24"/>
        <item x="299"/>
        <item x="156"/>
        <item x="336"/>
        <item x="487"/>
        <item x="212"/>
        <item x="115"/>
        <item x="404"/>
        <item x="485"/>
        <item x="317"/>
        <item x="434"/>
        <item x="275"/>
        <item x="135"/>
        <item x="337"/>
        <item x="333"/>
        <item x="433"/>
        <item x="324"/>
        <item x="488"/>
        <item x="213"/>
        <item x="229"/>
        <item x="423"/>
        <item x="273"/>
        <item x="81"/>
        <item x="25"/>
        <item x="272"/>
        <item x="388"/>
        <item x="323"/>
        <item x="30"/>
        <item x="374"/>
        <item x="249"/>
        <item x="91"/>
        <item x="304"/>
        <item x="26"/>
        <item x="320"/>
        <item x="276"/>
        <item x="319"/>
        <item x="301"/>
        <item x="230"/>
        <item x="244"/>
        <item x="159"/>
        <item x="0"/>
        <item x="116"/>
        <item x="318"/>
        <item x="248"/>
        <item x="424"/>
        <item x="247"/>
        <item x="438"/>
        <item x="375"/>
        <item x="245"/>
        <item x="435"/>
        <item x="246"/>
        <item x="406"/>
        <item x="157"/>
        <item x="254"/>
        <item x="389"/>
        <item x="27"/>
        <item x="250"/>
        <item x="214"/>
        <item x="437"/>
        <item x="231"/>
        <item x="285"/>
        <item x="409"/>
        <item x="257"/>
        <item x="321"/>
        <item x="240"/>
        <item x="215"/>
        <item x="253"/>
        <item x="287"/>
        <item x="251"/>
        <item x="322"/>
        <item x="288"/>
        <item x="117"/>
        <item x="232"/>
        <item x="305"/>
        <item x="302"/>
        <item x="390"/>
        <item x="376"/>
        <item x="407"/>
        <item x="136"/>
        <item x="1"/>
        <item x="306"/>
        <item x="28"/>
        <item x="252"/>
        <item x="436"/>
        <item x="391"/>
        <item x="439"/>
        <item x="258"/>
        <item x="286"/>
        <item x="160"/>
        <item x="392"/>
        <item x="410"/>
        <item x="256"/>
        <item x="408"/>
        <item x="289"/>
        <item x="216"/>
        <item x="2"/>
        <item x="92"/>
        <item x="303"/>
        <item x="109"/>
        <item x="29"/>
        <item x="31"/>
        <item x="411"/>
        <item x="161"/>
        <item x="255"/>
        <item x="259"/>
        <item x="158"/>
        <item x="237"/>
        <item x="233"/>
        <item x="32"/>
        <item x="137"/>
        <item x="118"/>
        <item x="377"/>
        <item x="3"/>
        <item x="119"/>
        <item x="93"/>
        <item x="111"/>
        <item x="162"/>
        <item x="33"/>
        <item x="138"/>
        <item x="123"/>
        <item x="393"/>
        <item x="217"/>
        <item x="241"/>
        <item x="110"/>
        <item x="124"/>
        <item x="125"/>
        <item x="378"/>
        <item x="4"/>
        <item x="121"/>
        <item x="238"/>
        <item x="122"/>
        <item x="139"/>
        <item x="223"/>
        <item x="236"/>
        <item x="112"/>
        <item x="94"/>
        <item x="234"/>
        <item x="221"/>
        <item x="120"/>
        <item x="5"/>
        <item x="394"/>
        <item x="395"/>
        <item x="140"/>
        <item x="6"/>
        <item x="218"/>
        <item x="235"/>
        <item x="379"/>
        <item x="222"/>
        <item x="195"/>
        <item x="380"/>
        <item x="239"/>
        <item x="7"/>
        <item x="220"/>
        <item x="397"/>
        <item x="196"/>
        <item x="396"/>
        <item x="113"/>
        <item x="141"/>
        <item x="126"/>
        <item x="242"/>
        <item x="142"/>
        <item x="8"/>
        <item x="197"/>
        <item x="219"/>
        <item x="198"/>
        <item x="128"/>
        <item x="243"/>
        <item x="381"/>
        <item x="200"/>
        <item x="199"/>
        <item x="129"/>
        <item x="114"/>
        <item x="9"/>
        <item x="130"/>
        <item x="382"/>
        <item x="178"/>
        <item x="127"/>
        <item x="10"/>
        <item x="179"/>
        <item x="131"/>
        <item x="208"/>
        <item x="182"/>
        <item x="180"/>
        <item x="181"/>
        <item x="224"/>
        <item x="201"/>
        <item x="183"/>
        <item x="191"/>
        <item x="143"/>
        <item x="192"/>
        <item x="193"/>
        <item x="194"/>
        <item x="225"/>
        <item x="184"/>
        <item x="95"/>
        <item x="144"/>
        <item x="11"/>
        <item x="202"/>
        <item x="190"/>
        <item x="205"/>
        <item x="186"/>
        <item x="185"/>
        <item x="206"/>
        <item x="145"/>
        <item x="13"/>
        <item x="226"/>
        <item x="189"/>
        <item x="187"/>
        <item x="204"/>
        <item x="209"/>
        <item x="12"/>
        <item x="207"/>
        <item x="203"/>
        <item x="188"/>
        <item x="210"/>
        <item x="14"/>
        <item x="211"/>
        <item x="15"/>
        <item x="16"/>
        <item x="96"/>
        <item x="97"/>
        <item x="98"/>
        <item t="default"/>
      </items>
    </pivotField>
    <pivotField compact="0" showAll="0">
      <items count="319">
        <item x="313"/>
        <item x="297"/>
        <item x="299"/>
        <item x="295"/>
        <item x="303"/>
        <item x="226"/>
        <item x="316"/>
        <item x="308"/>
        <item x="298"/>
        <item x="307"/>
        <item x="296"/>
        <item x="148"/>
        <item x="311"/>
        <item x="315"/>
        <item x="309"/>
        <item x="150"/>
        <item x="294"/>
        <item x="151"/>
        <item x="305"/>
        <item x="310"/>
        <item x="317"/>
        <item x="164"/>
        <item x="179"/>
        <item x="149"/>
        <item x="312"/>
        <item x="304"/>
        <item x="165"/>
        <item x="300"/>
        <item x="211"/>
        <item x="178"/>
        <item x="302"/>
        <item x="166"/>
        <item x="224"/>
        <item x="152"/>
        <item x="301"/>
        <item x="217"/>
        <item x="306"/>
        <item x="229"/>
        <item x="154"/>
        <item x="314"/>
        <item x="138"/>
        <item x="219"/>
        <item x="209"/>
        <item x="221"/>
        <item x="223"/>
        <item x="155"/>
        <item x="279"/>
        <item x="180"/>
        <item x="177"/>
        <item x="144"/>
        <item x="276"/>
        <item x="76"/>
        <item x="153"/>
        <item x="141"/>
        <item x="74"/>
        <item x="175"/>
        <item x="157"/>
        <item x="82"/>
        <item x="204"/>
        <item x="278"/>
        <item x="126"/>
        <item x="231"/>
        <item x="174"/>
        <item x="206"/>
        <item x="142"/>
        <item x="230"/>
        <item x="277"/>
        <item x="80"/>
        <item x="87"/>
        <item x="210"/>
        <item x="85"/>
        <item x="156"/>
        <item x="215"/>
        <item x="77"/>
        <item x="139"/>
        <item x="207"/>
        <item x="130"/>
        <item x="75"/>
        <item x="84"/>
        <item x="163"/>
        <item x="232"/>
        <item x="88"/>
        <item x="168"/>
        <item x="275"/>
        <item x="182"/>
        <item x="73"/>
        <item x="233"/>
        <item x="214"/>
        <item x="145"/>
        <item x="147"/>
        <item x="167"/>
        <item x="158"/>
        <item x="81"/>
        <item x="225"/>
        <item x="222"/>
        <item x="203"/>
        <item x="181"/>
        <item x="212"/>
        <item x="146"/>
        <item x="143"/>
        <item x="136"/>
        <item x="227"/>
        <item x="253"/>
        <item x="220"/>
        <item x="171"/>
        <item x="113"/>
        <item x="208"/>
        <item x="137"/>
        <item x="176"/>
        <item x="78"/>
        <item x="162"/>
        <item x="291"/>
        <item x="86"/>
        <item x="250"/>
        <item x="140"/>
        <item x="79"/>
        <item x="216"/>
        <item x="289"/>
        <item x="213"/>
        <item x="228"/>
        <item x="135"/>
        <item x="173"/>
        <item x="108"/>
        <item x="287"/>
        <item x="114"/>
        <item x="83"/>
        <item x="133"/>
        <item x="134"/>
        <item x="98"/>
        <item x="205"/>
        <item x="91"/>
        <item x="129"/>
        <item x="236"/>
        <item x="127"/>
        <item x="93"/>
        <item x="248"/>
        <item x="106"/>
        <item x="116"/>
        <item x="237"/>
        <item x="95"/>
        <item x="255"/>
        <item x="132"/>
        <item x="131"/>
        <item x="218"/>
        <item x="121"/>
        <item x="100"/>
        <item x="89"/>
        <item x="258"/>
        <item x="110"/>
        <item x="172"/>
        <item x="97"/>
        <item x="115"/>
        <item x="120"/>
        <item x="99"/>
        <item x="263"/>
        <item x="122"/>
        <item x="288"/>
        <item x="252"/>
        <item x="90"/>
        <item x="124"/>
        <item x="262"/>
        <item x="102"/>
        <item x="251"/>
        <item x="111"/>
        <item x="260"/>
        <item x="112"/>
        <item x="247"/>
        <item x="107"/>
        <item x="103"/>
        <item x="94"/>
        <item x="101"/>
        <item x="105"/>
        <item x="119"/>
        <item x="109"/>
        <item x="290"/>
        <item x="244"/>
        <item x="128"/>
        <item x="125"/>
        <item x="259"/>
        <item x="123"/>
        <item x="96"/>
        <item x="261"/>
        <item x="256"/>
        <item x="273"/>
        <item x="170"/>
        <item x="257"/>
        <item x="293"/>
        <item x="161"/>
        <item x="169"/>
        <item x="286"/>
        <item x="246"/>
        <item x="274"/>
        <item x="292"/>
        <item x="117"/>
        <item x="249"/>
        <item x="235"/>
        <item x="239"/>
        <item x="241"/>
        <item x="254"/>
        <item x="42"/>
        <item x="265"/>
        <item x="283"/>
        <item x="243"/>
        <item x="118"/>
        <item x="267"/>
        <item x="92"/>
        <item x="272"/>
        <item x="37"/>
        <item x="49"/>
        <item x="2"/>
        <item x="240"/>
        <item x="104"/>
        <item x="47"/>
        <item x="30"/>
        <item x="270"/>
        <item x="0"/>
        <item x="38"/>
        <item x="7"/>
        <item x="48"/>
        <item x="39"/>
        <item x="4"/>
        <item x="16"/>
        <item x="15"/>
        <item x="238"/>
        <item x="56"/>
        <item x="9"/>
        <item x="23"/>
        <item x="242"/>
        <item x="245"/>
        <item x="43"/>
        <item x="54"/>
        <item x="28"/>
        <item x="264"/>
        <item x="14"/>
        <item x="11"/>
        <item x="22"/>
        <item x="3"/>
        <item x="284"/>
        <item x="45"/>
        <item x="29"/>
        <item x="10"/>
        <item x="53"/>
        <item x="35"/>
        <item x="36"/>
        <item x="8"/>
        <item x="34"/>
        <item x="44"/>
        <item x="20"/>
        <item x="268"/>
        <item x="281"/>
        <item x="33"/>
        <item x="202"/>
        <item x="19"/>
        <item x="52"/>
        <item x="159"/>
        <item x="280"/>
        <item x="12"/>
        <item x="57"/>
        <item x="13"/>
        <item x="160"/>
        <item x="31"/>
        <item x="18"/>
        <item x="26"/>
        <item x="21"/>
        <item x="17"/>
        <item x="32"/>
        <item x="41"/>
        <item x="5"/>
        <item x="27"/>
        <item x="50"/>
        <item x="193"/>
        <item x="197"/>
        <item x="1"/>
        <item x="25"/>
        <item x="199"/>
        <item x="266"/>
        <item x="6"/>
        <item x="271"/>
        <item x="234"/>
        <item x="187"/>
        <item x="40"/>
        <item x="46"/>
        <item x="282"/>
        <item x="186"/>
        <item x="24"/>
        <item x="183"/>
        <item x="201"/>
        <item x="55"/>
        <item x="188"/>
        <item x="200"/>
        <item x="184"/>
        <item x="269"/>
        <item x="190"/>
        <item x="195"/>
        <item x="191"/>
        <item x="194"/>
        <item x="198"/>
        <item x="285"/>
        <item x="192"/>
        <item x="51"/>
        <item x="189"/>
        <item x="185"/>
        <item x="196"/>
        <item x="59"/>
        <item x="68"/>
        <item x="66"/>
        <item x="60"/>
        <item x="62"/>
        <item x="61"/>
        <item x="58"/>
        <item x="63"/>
        <item x="69"/>
        <item x="67"/>
        <item x="70"/>
        <item x="64"/>
        <item x="65"/>
        <item x="72"/>
        <item x="71"/>
        <item t="default"/>
      </items>
    </pivotField>
    <pivotField compact="0" showAll="0">
      <items count="408">
        <item x="398"/>
        <item x="399"/>
        <item x="385"/>
        <item x="400"/>
        <item x="403"/>
        <item x="406"/>
        <item x="386"/>
        <item x="389"/>
        <item x="401"/>
        <item x="402"/>
        <item x="404"/>
        <item x="387"/>
        <item x="405"/>
        <item x="391"/>
        <item x="392"/>
        <item x="390"/>
        <item x="394"/>
        <item x="393"/>
        <item x="352"/>
        <item x="395"/>
        <item x="379"/>
        <item x="396"/>
        <item x="369"/>
        <item x="357"/>
        <item x="356"/>
        <item x="353"/>
        <item x="370"/>
        <item x="355"/>
        <item x="358"/>
        <item x="380"/>
        <item x="295"/>
        <item x="371"/>
        <item x="354"/>
        <item x="288"/>
        <item x="360"/>
        <item x="361"/>
        <item x="359"/>
        <item x="296"/>
        <item x="160"/>
        <item x="155"/>
        <item x="161"/>
        <item x="159"/>
        <item x="372"/>
        <item x="290"/>
        <item x="64"/>
        <item x="158"/>
        <item x="337"/>
        <item x="373"/>
        <item x="326"/>
        <item x="66"/>
        <item x="362"/>
        <item x="374"/>
        <item x="162"/>
        <item x="67"/>
        <item x="156"/>
        <item x="157"/>
        <item x="97"/>
        <item x="289"/>
        <item x="98"/>
        <item x="68"/>
        <item x="255"/>
        <item x="153"/>
        <item x="65"/>
        <item x="154"/>
        <item x="99"/>
        <item x="297"/>
        <item x="276"/>
        <item x="95"/>
        <item x="257"/>
        <item x="397"/>
        <item x="163"/>
        <item x="101"/>
        <item x="96"/>
        <item x="338"/>
        <item x="275"/>
        <item x="365"/>
        <item x="364"/>
        <item x="363"/>
        <item x="69"/>
        <item x="70"/>
        <item x="327"/>
        <item x="283"/>
        <item x="375"/>
        <item x="299"/>
        <item x="100"/>
        <item x="267"/>
        <item x="286"/>
        <item x="94"/>
        <item x="277"/>
        <item x="127"/>
        <item x="71"/>
        <item x="245"/>
        <item x="244"/>
        <item x="339"/>
        <item x="376"/>
        <item x="284"/>
        <item x="280"/>
        <item x="17"/>
        <item x="35"/>
        <item x="259"/>
        <item x="102"/>
        <item x="18"/>
        <item x="366"/>
        <item x="298"/>
        <item x="34"/>
        <item x="269"/>
        <item x="256"/>
        <item x="214"/>
        <item x="266"/>
        <item x="282"/>
        <item x="139"/>
        <item x="258"/>
        <item x="246"/>
        <item x="128"/>
        <item x="140"/>
        <item x="218"/>
        <item x="217"/>
        <item x="278"/>
        <item x="343"/>
        <item x="53"/>
        <item x="201"/>
        <item x="36"/>
        <item x="341"/>
        <item x="72"/>
        <item x="285"/>
        <item x="52"/>
        <item x="342"/>
        <item x="164"/>
        <item x="141"/>
        <item x="279"/>
        <item x="247"/>
        <item x="142"/>
        <item x="19"/>
        <item x="54"/>
        <item x="216"/>
        <item x="51"/>
        <item x="143"/>
        <item x="37"/>
        <item x="38"/>
        <item x="265"/>
        <item x="80"/>
        <item x="79"/>
        <item x="55"/>
        <item x="377"/>
        <item x="381"/>
        <item x="39"/>
        <item x="367"/>
        <item x="73"/>
        <item x="56"/>
        <item x="103"/>
        <item x="287"/>
        <item x="44"/>
        <item x="165"/>
        <item x="40"/>
        <item x="388"/>
        <item x="305"/>
        <item x="264"/>
        <item x="301"/>
        <item x="57"/>
        <item x="248"/>
        <item x="291"/>
        <item x="20"/>
        <item x="328"/>
        <item x="43"/>
        <item x="41"/>
        <item x="304"/>
        <item x="149"/>
        <item x="303"/>
        <item x="215"/>
        <item x="344"/>
        <item x="302"/>
        <item x="21"/>
        <item x="382"/>
        <item x="294"/>
        <item x="166"/>
        <item x="48"/>
        <item x="300"/>
        <item x="219"/>
        <item x="42"/>
        <item x="270"/>
        <item x="47"/>
        <item x="75"/>
        <item x="144"/>
        <item x="61"/>
        <item x="185"/>
        <item x="383"/>
        <item x="81"/>
        <item x="45"/>
        <item x="22"/>
        <item x="58"/>
        <item x="260"/>
        <item x="74"/>
        <item x="281"/>
        <item x="49"/>
        <item x="378"/>
        <item x="250"/>
        <item x="384"/>
        <item x="317"/>
        <item x="272"/>
        <item x="306"/>
        <item x="249"/>
        <item x="268"/>
        <item x="316"/>
        <item x="82"/>
        <item x="329"/>
        <item x="292"/>
        <item x="350"/>
        <item x="63"/>
        <item x="110"/>
        <item x="76"/>
        <item x="330"/>
        <item x="146"/>
        <item x="368"/>
        <item x="226"/>
        <item x="145"/>
        <item x="59"/>
        <item x="129"/>
        <item x="46"/>
        <item x="274"/>
        <item x="62"/>
        <item x="347"/>
        <item x="273"/>
        <item x="50"/>
        <item x="261"/>
        <item x="345"/>
        <item x="262"/>
        <item x="293"/>
        <item x="60"/>
        <item x="23"/>
        <item x="202"/>
        <item x="263"/>
        <item x="346"/>
        <item x="348"/>
        <item x="251"/>
        <item x="83"/>
        <item x="271"/>
        <item x="187"/>
        <item x="332"/>
        <item x="106"/>
        <item x="111"/>
        <item x="254"/>
        <item x="112"/>
        <item x="147"/>
        <item x="307"/>
        <item x="24"/>
        <item x="331"/>
        <item x="77"/>
        <item x="220"/>
        <item x="309"/>
        <item x="308"/>
        <item x="105"/>
        <item x="334"/>
        <item x="150"/>
        <item x="203"/>
        <item x="349"/>
        <item x="319"/>
        <item x="104"/>
        <item x="318"/>
        <item x="186"/>
        <item x="78"/>
        <item x="181"/>
        <item x="30"/>
        <item x="336"/>
        <item x="130"/>
        <item x="84"/>
        <item x="0"/>
        <item x="26"/>
        <item x="184"/>
        <item x="85"/>
        <item x="179"/>
        <item x="25"/>
        <item x="333"/>
        <item x="351"/>
        <item x="253"/>
        <item x="182"/>
        <item x="234"/>
        <item x="113"/>
        <item x="27"/>
        <item x="252"/>
        <item x="132"/>
        <item x="335"/>
        <item x="210"/>
        <item x="340"/>
        <item x="180"/>
        <item x="151"/>
        <item x="310"/>
        <item x="230"/>
        <item x="188"/>
        <item x="108"/>
        <item x="238"/>
        <item x="120"/>
        <item x="131"/>
        <item x="107"/>
        <item x="231"/>
        <item x="148"/>
        <item x="2"/>
        <item x="241"/>
        <item x="232"/>
        <item x="168"/>
        <item x="235"/>
        <item x="227"/>
        <item x="320"/>
        <item x="117"/>
        <item x="233"/>
        <item x="119"/>
        <item x="204"/>
        <item x="152"/>
        <item x="1"/>
        <item x="242"/>
        <item x="189"/>
        <item x="115"/>
        <item x="118"/>
        <item x="28"/>
        <item x="229"/>
        <item x="116"/>
        <item x="183"/>
        <item x="236"/>
        <item x="31"/>
        <item x="237"/>
        <item x="86"/>
        <item x="114"/>
        <item x="109"/>
        <item x="223"/>
        <item x="29"/>
        <item x="239"/>
        <item x="311"/>
        <item x="171"/>
        <item x="321"/>
        <item x="322"/>
        <item x="3"/>
        <item x="123"/>
        <item x="33"/>
        <item x="323"/>
        <item x="243"/>
        <item x="228"/>
        <item x="133"/>
        <item x="32"/>
        <item x="190"/>
        <item x="224"/>
        <item x="207"/>
        <item x="240"/>
        <item x="4"/>
        <item x="172"/>
        <item x="169"/>
        <item x="87"/>
        <item x="134"/>
        <item x="221"/>
        <item x="121"/>
        <item x="222"/>
        <item x="174"/>
        <item x="135"/>
        <item x="313"/>
        <item x="325"/>
        <item x="206"/>
        <item x="324"/>
        <item x="312"/>
        <item x="205"/>
        <item x="5"/>
        <item x="197"/>
        <item x="208"/>
        <item x="167"/>
        <item x="7"/>
        <item x="170"/>
        <item x="124"/>
        <item x="213"/>
        <item x="122"/>
        <item x="6"/>
        <item x="88"/>
        <item x="8"/>
        <item x="125"/>
        <item x="314"/>
        <item x="191"/>
        <item x="173"/>
        <item x="225"/>
        <item x="175"/>
        <item x="89"/>
        <item x="136"/>
        <item x="126"/>
        <item x="212"/>
        <item x="211"/>
        <item x="178"/>
        <item x="209"/>
        <item x="176"/>
        <item x="315"/>
        <item x="177"/>
        <item x="9"/>
        <item x="10"/>
        <item x="137"/>
        <item x="200"/>
        <item x="138"/>
        <item x="198"/>
        <item x="199"/>
        <item x="192"/>
        <item x="11"/>
        <item x="196"/>
        <item x="194"/>
        <item x="195"/>
        <item x="13"/>
        <item x="12"/>
        <item x="193"/>
        <item x="90"/>
        <item x="14"/>
        <item x="15"/>
        <item x="16"/>
        <item x="91"/>
        <item x="92"/>
        <item x="93"/>
        <item t="default"/>
      </items>
    </pivotField>
    <pivotField compact="0" showAll="0">
      <items count="299">
        <item x="294"/>
        <item x="285"/>
        <item x="296"/>
        <item x="286"/>
        <item x="297"/>
        <item x="287"/>
        <item x="290"/>
        <item x="291"/>
        <item x="292"/>
        <item x="288"/>
        <item x="295"/>
        <item x="280"/>
        <item x="54"/>
        <item x="289"/>
        <item x="55"/>
        <item x="56"/>
        <item x="57"/>
        <item x="238"/>
        <item x="239"/>
        <item x="293"/>
        <item x="58"/>
        <item x="273"/>
        <item x="240"/>
        <item x="17"/>
        <item x="267"/>
        <item x="59"/>
        <item x="242"/>
        <item x="268"/>
        <item x="18"/>
        <item x="243"/>
        <item x="60"/>
        <item x="34"/>
        <item x="137"/>
        <item x="19"/>
        <item x="35"/>
        <item x="47"/>
        <item x="36"/>
        <item x="48"/>
        <item x="49"/>
        <item x="41"/>
        <item x="37"/>
        <item x="20"/>
        <item x="126"/>
        <item x="38"/>
        <item x="21"/>
        <item x="39"/>
        <item x="112"/>
        <item x="40"/>
        <item x="241"/>
        <item x="127"/>
        <item x="22"/>
        <item x="42"/>
        <item x="62"/>
        <item x="52"/>
        <item x="44"/>
        <item x="61"/>
        <item x="45"/>
        <item x="46"/>
        <item x="281"/>
        <item x="204"/>
        <item x="50"/>
        <item x="244"/>
        <item x="43"/>
        <item x="53"/>
        <item x="63"/>
        <item x="128"/>
        <item x="23"/>
        <item x="205"/>
        <item x="139"/>
        <item x="138"/>
        <item x="129"/>
        <item x="209"/>
        <item x="113"/>
        <item x="51"/>
        <item x="278"/>
        <item x="130"/>
        <item x="234"/>
        <item x="85"/>
        <item x="282"/>
        <item x="64"/>
        <item x="24"/>
        <item x="114"/>
        <item x="218"/>
        <item x="66"/>
        <item x="262"/>
        <item x="131"/>
        <item x="269"/>
        <item x="84"/>
        <item x="217"/>
        <item x="279"/>
        <item x="67"/>
        <item x="227"/>
        <item x="65"/>
        <item x="25"/>
        <item x="86"/>
        <item x="30"/>
        <item x="185"/>
        <item x="26"/>
        <item x="83"/>
        <item x="219"/>
        <item x="140"/>
        <item x="171"/>
        <item x="0"/>
        <item x="228"/>
        <item x="210"/>
        <item x="216"/>
        <item x="233"/>
        <item x="220"/>
        <item x="87"/>
        <item x="207"/>
        <item x="68"/>
        <item x="27"/>
        <item x="69"/>
        <item x="215"/>
        <item x="274"/>
        <item x="271"/>
        <item x="221"/>
        <item x="82"/>
        <item x="270"/>
        <item x="236"/>
        <item x="132"/>
        <item x="283"/>
        <item x="97"/>
        <item x="88"/>
        <item x="70"/>
        <item x="1"/>
        <item x="28"/>
        <item x="115"/>
        <item x="237"/>
        <item x="235"/>
        <item x="232"/>
        <item x="284"/>
        <item x="2"/>
        <item x="206"/>
        <item x="29"/>
        <item x="31"/>
        <item x="172"/>
        <item x="253"/>
        <item x="231"/>
        <item x="173"/>
        <item x="224"/>
        <item x="229"/>
        <item x="208"/>
        <item x="186"/>
        <item x="194"/>
        <item x="133"/>
        <item x="98"/>
        <item x="71"/>
        <item x="32"/>
        <item x="89"/>
        <item x="195"/>
        <item x="196"/>
        <item x="263"/>
        <item x="275"/>
        <item x="245"/>
        <item x="3"/>
        <item x="200"/>
        <item x="254"/>
        <item x="33"/>
        <item x="174"/>
        <item x="272"/>
        <item x="211"/>
        <item x="264"/>
        <item x="202"/>
        <item x="230"/>
        <item x="199"/>
        <item x="212"/>
        <item x="197"/>
        <item x="213"/>
        <item x="99"/>
        <item x="225"/>
        <item x="4"/>
        <item x="222"/>
        <item x="255"/>
        <item x="116"/>
        <item x="226"/>
        <item x="90"/>
        <item x="198"/>
        <item x="256"/>
        <item x="203"/>
        <item x="188"/>
        <item x="134"/>
        <item x="265"/>
        <item x="72"/>
        <item x="201"/>
        <item x="214"/>
        <item x="223"/>
        <item x="5"/>
        <item x="266"/>
        <item x="135"/>
        <item x="175"/>
        <item x="191"/>
        <item x="6"/>
        <item x="276"/>
        <item x="73"/>
        <item x="189"/>
        <item x="117"/>
        <item x="100"/>
        <item x="181"/>
        <item x="7"/>
        <item x="101"/>
        <item x="246"/>
        <item x="277"/>
        <item x="136"/>
        <item x="187"/>
        <item x="118"/>
        <item x="104"/>
        <item x="179"/>
        <item x="257"/>
        <item x="8"/>
        <item x="105"/>
        <item x="102"/>
        <item x="103"/>
        <item x="119"/>
        <item x="176"/>
        <item x="180"/>
        <item x="158"/>
        <item x="74"/>
        <item x="190"/>
        <item x="178"/>
        <item x="9"/>
        <item x="258"/>
        <item x="247"/>
        <item x="259"/>
        <item x="192"/>
        <item x="120"/>
        <item x="159"/>
        <item x="177"/>
        <item x="91"/>
        <item x="10"/>
        <item x="160"/>
        <item x="193"/>
        <item x="248"/>
        <item x="261"/>
        <item x="162"/>
        <item x="161"/>
        <item x="260"/>
        <item x="121"/>
        <item x="106"/>
        <item x="122"/>
        <item x="93"/>
        <item x="108"/>
        <item x="75"/>
        <item x="92"/>
        <item x="109"/>
        <item x="249"/>
        <item x="11"/>
        <item x="250"/>
        <item x="182"/>
        <item x="110"/>
        <item x="94"/>
        <item x="107"/>
        <item x="76"/>
        <item x="111"/>
        <item x="13"/>
        <item x="12"/>
        <item x="183"/>
        <item x="251"/>
        <item x="163"/>
        <item x="166"/>
        <item x="123"/>
        <item x="77"/>
        <item x="95"/>
        <item x="167"/>
        <item x="252"/>
        <item x="14"/>
        <item x="184"/>
        <item x="165"/>
        <item x="169"/>
        <item x="124"/>
        <item x="168"/>
        <item x="164"/>
        <item x="96"/>
        <item x="125"/>
        <item x="15"/>
        <item x="141"/>
        <item x="16"/>
        <item x="142"/>
        <item x="170"/>
        <item x="145"/>
        <item x="143"/>
        <item x="144"/>
        <item x="146"/>
        <item x="154"/>
        <item x="155"/>
        <item x="156"/>
        <item x="157"/>
        <item x="147"/>
        <item x="153"/>
        <item x="149"/>
        <item x="148"/>
        <item x="152"/>
        <item x="150"/>
        <item x="78"/>
        <item x="151"/>
        <item x="79"/>
        <item x="80"/>
        <item x="81"/>
        <item t="default"/>
      </items>
    </pivotField>
    <pivotField compact="0" showAll="0">
      <items count="340">
        <item x="338"/>
        <item x="320"/>
        <item x="321"/>
        <item x="322"/>
        <item x="323"/>
        <item x="324"/>
        <item x="325"/>
        <item x="80"/>
        <item x="81"/>
        <item x="82"/>
        <item x="83"/>
        <item x="332"/>
        <item x="84"/>
        <item x="285"/>
        <item x="85"/>
        <item x="312"/>
        <item x="286"/>
        <item x="287"/>
        <item x="86"/>
        <item x="288"/>
        <item x="319"/>
        <item x="294"/>
        <item x="157"/>
        <item x="87"/>
        <item x="156"/>
        <item x="155"/>
        <item x="289"/>
        <item x="336"/>
        <item x="126"/>
        <item x="313"/>
        <item x="295"/>
        <item x="290"/>
        <item x="154"/>
        <item x="88"/>
        <item x="142"/>
        <item x="309"/>
        <item x="235"/>
        <item x="127"/>
        <item x="100"/>
        <item x="236"/>
        <item x="143"/>
        <item x="89"/>
        <item x="128"/>
        <item x="99"/>
        <item x="158"/>
        <item x="291"/>
        <item x="101"/>
        <item x="326"/>
        <item x="98"/>
        <item x="90"/>
        <item x="292"/>
        <item x="97"/>
        <item x="129"/>
        <item x="102"/>
        <item x="314"/>
        <item x="159"/>
        <item x="96"/>
        <item x="144"/>
        <item x="95"/>
        <item x="318"/>
        <item x="145"/>
        <item x="103"/>
        <item x="327"/>
        <item x="264"/>
        <item x="244"/>
        <item x="238"/>
        <item x="130"/>
        <item x="237"/>
        <item x="160"/>
        <item x="63"/>
        <item x="146"/>
        <item x="328"/>
        <item x="255"/>
        <item x="245"/>
        <item x="293"/>
        <item x="147"/>
        <item x="256"/>
        <item x="265"/>
        <item x="64"/>
        <item x="66"/>
        <item x="65"/>
        <item x="266"/>
        <item x="257"/>
        <item x="161"/>
        <item x="267"/>
        <item x="268"/>
        <item x="296"/>
        <item x="67"/>
        <item x="254"/>
        <item x="258"/>
        <item x="253"/>
        <item x="303"/>
        <item x="68"/>
        <item x="104"/>
        <item x="252"/>
        <item x="316"/>
        <item x="259"/>
        <item x="281"/>
        <item x="315"/>
        <item x="148"/>
        <item x="239"/>
        <item x="279"/>
        <item x="111"/>
        <item x="280"/>
        <item x="333"/>
        <item x="131"/>
        <item x="269"/>
        <item x="337"/>
        <item x="241"/>
        <item x="329"/>
        <item x="317"/>
        <item x="270"/>
        <item x="246"/>
        <item x="69"/>
        <item x="273"/>
        <item x="91"/>
        <item x="297"/>
        <item x="262"/>
        <item x="247"/>
        <item x="260"/>
        <item x="242"/>
        <item x="151"/>
        <item x="70"/>
        <item x="272"/>
        <item x="248"/>
        <item x="271"/>
        <item x="17"/>
        <item x="310"/>
        <item x="283"/>
        <item x="240"/>
        <item x="149"/>
        <item x="298"/>
        <item x="304"/>
        <item x="71"/>
        <item x="278"/>
        <item x="311"/>
        <item x="228"/>
        <item x="282"/>
        <item x="243"/>
        <item x="112"/>
        <item x="263"/>
        <item x="227"/>
        <item x="261"/>
        <item x="274"/>
        <item x="34"/>
        <item x="132"/>
        <item x="72"/>
        <item x="35"/>
        <item x="18"/>
        <item x="284"/>
        <item x="152"/>
        <item x="277"/>
        <item x="232"/>
        <item x="229"/>
        <item x="73"/>
        <item x="249"/>
        <item x="36"/>
        <item x="105"/>
        <item x="330"/>
        <item x="299"/>
        <item x="231"/>
        <item x="276"/>
        <item x="153"/>
        <item x="300"/>
        <item x="19"/>
        <item x="50"/>
        <item x="150"/>
        <item x="49"/>
        <item x="230"/>
        <item x="37"/>
        <item x="234"/>
        <item x="52"/>
        <item x="233"/>
        <item x="334"/>
        <item x="133"/>
        <item x="113"/>
        <item x="51"/>
        <item x="38"/>
        <item x="53"/>
        <item x="114"/>
        <item x="107"/>
        <item x="54"/>
        <item x="250"/>
        <item x="134"/>
        <item x="43"/>
        <item x="118"/>
        <item x="275"/>
        <item x="305"/>
        <item x="39"/>
        <item x="106"/>
        <item x="55"/>
        <item x="331"/>
        <item x="301"/>
        <item x="119"/>
        <item x="20"/>
        <item x="56"/>
        <item x="116"/>
        <item x="335"/>
        <item x="40"/>
        <item x="117"/>
        <item x="74"/>
        <item x="135"/>
        <item x="21"/>
        <item x="41"/>
        <item x="108"/>
        <item x="92"/>
        <item x="251"/>
        <item x="302"/>
        <item x="42"/>
        <item x="57"/>
        <item x="115"/>
        <item x="306"/>
        <item x="136"/>
        <item x="22"/>
        <item x="44"/>
        <item x="76"/>
        <item x="211"/>
        <item x="60"/>
        <item x="46"/>
        <item x="75"/>
        <item x="308"/>
        <item x="47"/>
        <item x="307"/>
        <item x="109"/>
        <item x="48"/>
        <item x="137"/>
        <item x="120"/>
        <item x="138"/>
        <item x="58"/>
        <item x="212"/>
        <item x="45"/>
        <item x="122"/>
        <item x="62"/>
        <item x="61"/>
        <item x="77"/>
        <item x="195"/>
        <item x="93"/>
        <item x="23"/>
        <item x="123"/>
        <item x="110"/>
        <item x="196"/>
        <item x="213"/>
        <item x="59"/>
        <item x="124"/>
        <item x="121"/>
        <item x="125"/>
        <item x="78"/>
        <item x="197"/>
        <item x="24"/>
        <item x="94"/>
        <item x="198"/>
        <item x="214"/>
        <item x="223"/>
        <item x="199"/>
        <item x="79"/>
        <item x="139"/>
        <item x="25"/>
        <item x="215"/>
        <item x="30"/>
        <item x="26"/>
        <item x="0"/>
        <item x="200"/>
        <item x="140"/>
        <item x="27"/>
        <item x="141"/>
        <item x="220"/>
        <item x="216"/>
        <item x="1"/>
        <item x="28"/>
        <item x="2"/>
        <item x="201"/>
        <item x="224"/>
        <item x="29"/>
        <item x="31"/>
        <item x="221"/>
        <item x="207"/>
        <item x="219"/>
        <item x="32"/>
        <item x="217"/>
        <item x="205"/>
        <item x="3"/>
        <item x="33"/>
        <item x="202"/>
        <item x="218"/>
        <item x="206"/>
        <item x="4"/>
        <item x="179"/>
        <item x="162"/>
        <item x="222"/>
        <item x="204"/>
        <item x="163"/>
        <item x="180"/>
        <item x="225"/>
        <item x="181"/>
        <item x="5"/>
        <item x="203"/>
        <item x="166"/>
        <item x="164"/>
        <item x="165"/>
        <item x="226"/>
        <item x="6"/>
        <item x="167"/>
        <item x="175"/>
        <item x="176"/>
        <item x="183"/>
        <item x="182"/>
        <item x="177"/>
        <item x="7"/>
        <item x="178"/>
        <item x="168"/>
        <item x="8"/>
        <item x="174"/>
        <item x="170"/>
        <item x="169"/>
        <item x="191"/>
        <item x="173"/>
        <item x="208"/>
        <item x="184"/>
        <item x="171"/>
        <item x="9"/>
        <item x="172"/>
        <item x="10"/>
        <item x="209"/>
        <item x="185"/>
        <item x="188"/>
        <item x="189"/>
        <item x="210"/>
        <item x="187"/>
        <item x="192"/>
        <item x="190"/>
        <item x="186"/>
        <item x="11"/>
        <item x="193"/>
        <item x="13"/>
        <item x="194"/>
        <item x="12"/>
        <item x="14"/>
        <item x="15"/>
        <item x="16"/>
        <item t="default"/>
      </items>
    </pivotField>
    <pivotField axis="axisPage" compact="0" multipleItemSelectionAllowed="1" showAll="0">
      <items count="3">
        <item x="0"/>
        <item h="1" x="1"/>
        <item t="default"/>
      </items>
    </pivotField>
    <pivotField compact="0" showAll="0">
      <items count="492">
        <item x="478"/>
        <item x="467"/>
        <item x="472"/>
        <item x="466"/>
        <item x="68"/>
        <item x="16"/>
        <item x="17"/>
        <item x="474"/>
        <item x="67"/>
        <item x="66"/>
        <item x="469"/>
        <item x="71"/>
        <item x="20"/>
        <item x="36"/>
        <item x="34"/>
        <item x="18"/>
        <item x="465"/>
        <item x="55"/>
        <item x="56"/>
        <item x="45"/>
        <item x="47"/>
        <item x="22"/>
        <item x="470"/>
        <item x="60"/>
        <item x="51"/>
        <item x="44"/>
        <item x="70"/>
        <item x="475"/>
        <item x="72"/>
        <item x="2"/>
        <item x="0"/>
        <item x="37"/>
        <item x="21"/>
        <item x="54"/>
        <item x="31"/>
        <item x="58"/>
        <item x="25"/>
        <item x="4"/>
        <item x="5"/>
        <item x="28"/>
        <item x="32"/>
        <item x="9"/>
        <item x="43"/>
        <item x="12"/>
        <item x="13"/>
        <item x="61"/>
        <item x="23"/>
        <item x="14"/>
        <item x="15"/>
        <item x="10"/>
        <item x="7"/>
        <item x="11"/>
        <item x="26"/>
        <item x="3"/>
        <item x="59"/>
        <item x="50"/>
        <item x="29"/>
        <item x="8"/>
        <item x="46"/>
        <item x="40"/>
        <item x="30"/>
        <item x="6"/>
        <item x="24"/>
        <item x="27"/>
        <item x="35"/>
        <item x="62"/>
        <item x="41"/>
        <item x="1"/>
        <item x="74"/>
        <item x="73"/>
        <item x="76"/>
        <item x="39"/>
        <item x="48"/>
        <item x="42"/>
        <item x="75"/>
        <item x="69"/>
        <item x="38"/>
        <item x="19"/>
        <item x="57"/>
        <item x="64"/>
        <item x="52"/>
        <item x="53"/>
        <item x="33"/>
        <item x="49"/>
        <item x="65"/>
        <item x="477"/>
        <item x="476"/>
        <item x="63"/>
        <item x="471"/>
        <item x="473"/>
        <item x="468"/>
        <item x="458"/>
        <item x="459"/>
        <item x="457"/>
        <item x="452"/>
        <item x="451"/>
        <item x="461"/>
        <item x="453"/>
        <item x="456"/>
        <item x="213"/>
        <item x="455"/>
        <item x="216"/>
        <item x="202"/>
        <item x="217"/>
        <item x="200"/>
        <item x="220"/>
        <item x="208"/>
        <item x="198"/>
        <item x="227"/>
        <item x="188"/>
        <item x="219"/>
        <item x="205"/>
        <item x="190"/>
        <item x="209"/>
        <item x="187"/>
        <item x="218"/>
        <item x="196"/>
        <item x="183"/>
        <item x="211"/>
        <item x="193"/>
        <item x="195"/>
        <item x="210"/>
        <item x="185"/>
        <item x="184"/>
        <item x="192"/>
        <item x="224"/>
        <item x="194"/>
        <item x="191"/>
        <item x="223"/>
        <item x="197"/>
        <item x="203"/>
        <item x="182"/>
        <item x="189"/>
        <item x="228"/>
        <item x="204"/>
        <item x="186"/>
        <item x="207"/>
        <item x="206"/>
        <item x="201"/>
        <item x="221"/>
        <item x="199"/>
        <item x="226"/>
        <item x="222"/>
        <item x="225"/>
        <item x="212"/>
        <item x="215"/>
        <item x="214"/>
        <item x="463"/>
        <item x="464"/>
        <item x="454"/>
        <item x="462"/>
        <item x="460"/>
        <item x="450"/>
        <item x="382"/>
        <item x="443"/>
        <item x="326"/>
        <item x="403"/>
        <item x="327"/>
        <item x="319"/>
        <item x="406"/>
        <item x="408"/>
        <item x="255"/>
        <item x="150"/>
        <item x="409"/>
        <item x="328"/>
        <item x="383"/>
        <item x="394"/>
        <item x="284"/>
        <item x="241"/>
        <item x="120"/>
        <item x="285"/>
        <item x="445"/>
        <item x="316"/>
        <item x="306"/>
        <item x="395"/>
        <item x="334"/>
        <item x="256"/>
        <item x="140"/>
        <item x="393"/>
        <item x="332"/>
        <item x="325"/>
        <item x="141"/>
        <item x="303"/>
        <item x="305"/>
        <item x="286"/>
        <item x="388"/>
        <item x="387"/>
        <item x="444"/>
        <item x="356"/>
        <item x="287"/>
        <item x="151"/>
        <item x="247"/>
        <item x="260"/>
        <item x="268"/>
        <item x="257"/>
        <item x="375"/>
        <item x="308"/>
        <item x="153"/>
        <item x="333"/>
        <item x="312"/>
        <item x="447"/>
        <item x="232"/>
        <item x="400"/>
        <item x="292"/>
        <item x="249"/>
        <item x="230"/>
        <item x="250"/>
        <item x="446"/>
        <item x="371"/>
        <item x="278"/>
        <item x="402"/>
        <item x="283"/>
        <item x="142"/>
        <item x="148"/>
        <item x="389"/>
        <item x="267"/>
        <item x="396"/>
        <item x="127"/>
        <item x="362"/>
        <item x="103"/>
        <item x="358"/>
        <item x="359"/>
        <item x="295"/>
        <item x="266"/>
        <item x="448"/>
        <item x="309"/>
        <item x="159"/>
        <item x="323"/>
        <item x="157"/>
        <item x="110"/>
        <item x="234"/>
        <item x="322"/>
        <item x="147"/>
        <item x="162"/>
        <item x="378"/>
        <item x="107"/>
        <item x="265"/>
        <item x="242"/>
        <item x="280"/>
        <item x="252"/>
        <item x="449"/>
        <item x="298"/>
        <item x="366"/>
        <item x="264"/>
        <item x="113"/>
        <item x="253"/>
        <item x="121"/>
        <item x="294"/>
        <item x="229"/>
        <item x="311"/>
        <item x="105"/>
        <item x="279"/>
        <item x="126"/>
        <item x="125"/>
        <item x="129"/>
        <item x="133"/>
        <item x="364"/>
        <item x="235"/>
        <item x="297"/>
        <item x="271"/>
        <item x="270"/>
        <item x="116"/>
        <item x="300"/>
        <item x="296"/>
        <item x="114"/>
        <item x="131"/>
        <item x="104"/>
        <item x="236"/>
        <item x="281"/>
        <item x="118"/>
        <item x="132"/>
        <item x="112"/>
        <item x="117"/>
        <item x="277"/>
        <item x="261"/>
        <item x="324"/>
        <item x="149"/>
        <item x="304"/>
        <item x="398"/>
        <item x="374"/>
        <item x="115"/>
        <item x="144"/>
        <item x="269"/>
        <item x="111"/>
        <item x="367"/>
        <item x="357"/>
        <item x="379"/>
        <item x="128"/>
        <item x="361"/>
        <item x="390"/>
        <item x="365"/>
        <item x="106"/>
        <item x="391"/>
        <item x="146"/>
        <item x="139"/>
        <item x="336"/>
        <item x="248"/>
        <item x="130"/>
        <item x="376"/>
        <item x="109"/>
        <item x="399"/>
        <item x="108"/>
        <item x="156"/>
        <item x="363"/>
        <item x="239"/>
        <item x="124"/>
        <item x="355"/>
        <item x="263"/>
        <item x="313"/>
        <item x="377"/>
        <item x="262"/>
        <item x="102"/>
        <item x="143"/>
        <item x="360"/>
        <item x="138"/>
        <item x="237"/>
        <item x="238"/>
        <item x="290"/>
        <item x="293"/>
        <item x="302"/>
        <item x="307"/>
        <item x="380"/>
        <item x="145"/>
        <item x="291"/>
        <item x="310"/>
        <item x="163"/>
        <item x="245"/>
        <item x="354"/>
        <item x="273"/>
        <item x="276"/>
        <item x="401"/>
        <item x="246"/>
        <item x="231"/>
        <item x="299"/>
        <item x="353"/>
        <item x="335"/>
        <item x="233"/>
        <item x="254"/>
        <item x="243"/>
        <item x="251"/>
        <item x="372"/>
        <item x="301"/>
        <item x="272"/>
        <item x="119"/>
        <item x="289"/>
        <item x="164"/>
        <item x="317"/>
        <item x="259"/>
        <item x="275"/>
        <item x="329"/>
        <item x="397"/>
        <item x="288"/>
        <item x="373"/>
        <item x="137"/>
        <item x="321"/>
        <item x="274"/>
        <item x="282"/>
        <item x="385"/>
        <item x="135"/>
        <item x="152"/>
        <item x="368"/>
        <item x="392"/>
        <item x="136"/>
        <item x="122"/>
        <item x="381"/>
        <item x="123"/>
        <item x="369"/>
        <item x="160"/>
        <item x="134"/>
        <item x="314"/>
        <item x="161"/>
        <item x="410"/>
        <item x="258"/>
        <item x="154"/>
        <item x="386"/>
        <item x="331"/>
        <item x="244"/>
        <item x="320"/>
        <item x="384"/>
        <item x="330"/>
        <item x="155"/>
        <item x="405"/>
        <item x="370"/>
        <item x="407"/>
        <item x="318"/>
        <item x="240"/>
        <item x="158"/>
        <item x="315"/>
        <item x="404"/>
        <item x="442"/>
        <item x="339"/>
        <item x="337"/>
        <item x="341"/>
        <item x="343"/>
        <item x="344"/>
        <item x="346"/>
        <item x="340"/>
        <item x="348"/>
        <item x="345"/>
        <item x="338"/>
        <item x="350"/>
        <item x="349"/>
        <item x="351"/>
        <item x="352"/>
        <item x="347"/>
        <item x="342"/>
        <item x="92"/>
        <item x="93"/>
        <item x="90"/>
        <item x="88"/>
        <item x="95"/>
        <item x="99"/>
        <item x="100"/>
        <item x="98"/>
        <item x="169"/>
        <item x="179"/>
        <item x="171"/>
        <item x="166"/>
        <item x="167"/>
        <item x="170"/>
        <item x="178"/>
        <item x="177"/>
        <item x="173"/>
        <item x="174"/>
        <item x="175"/>
        <item x="89"/>
        <item x="181"/>
        <item x="180"/>
        <item x="176"/>
        <item x="172"/>
        <item x="168"/>
        <item x="165"/>
        <item x="101"/>
        <item x="96"/>
        <item x="94"/>
        <item x="91"/>
        <item x="97"/>
        <item x="80"/>
        <item x="82"/>
        <item x="86"/>
        <item x="81"/>
        <item x="87"/>
        <item x="85"/>
        <item x="84"/>
        <item x="83"/>
        <item x="79"/>
        <item x="78"/>
        <item x="77"/>
        <item x="427"/>
        <item x="432"/>
        <item x="412"/>
        <item x="414"/>
        <item x="439"/>
        <item x="420"/>
        <item x="437"/>
        <item x="425"/>
        <item x="435"/>
        <item x="441"/>
        <item x="419"/>
        <item x="415"/>
        <item x="438"/>
        <item x="418"/>
        <item x="424"/>
        <item x="423"/>
        <item x="413"/>
        <item x="426"/>
        <item x="429"/>
        <item x="433"/>
        <item x="421"/>
        <item x="417"/>
        <item x="422"/>
        <item x="411"/>
        <item x="440"/>
        <item x="436"/>
        <item x="416"/>
        <item x="430"/>
        <item x="428"/>
        <item x="434"/>
        <item x="431"/>
        <item x="483"/>
        <item x="482"/>
        <item x="490"/>
        <item x="487"/>
        <item x="485"/>
        <item x="488"/>
        <item x="479"/>
        <item x="481"/>
        <item x="480"/>
        <item x="484"/>
        <item x="486"/>
        <item x="489"/>
        <item t="default"/>
      </items>
    </pivotField>
    <pivotField compact="0" showAll="0">
      <items count="524">
        <item x="513"/>
        <item x="520"/>
        <item x="439"/>
        <item x="459"/>
        <item x="517"/>
        <item x="516"/>
        <item x="464"/>
        <item x="458"/>
        <item x="522"/>
        <item x="448"/>
        <item x="444"/>
        <item x="468"/>
        <item x="450"/>
        <item x="457"/>
        <item x="463"/>
        <item x="466"/>
        <item x="455"/>
        <item x="447"/>
        <item x="443"/>
        <item x="467"/>
        <item x="469"/>
        <item x="442"/>
        <item x="453"/>
        <item x="518"/>
        <item x="454"/>
        <item x="462"/>
        <item x="451"/>
        <item x="470"/>
        <item x="452"/>
        <item x="456"/>
        <item x="449"/>
        <item x="446"/>
        <item x="461"/>
        <item x="519"/>
        <item x="441"/>
        <item x="460"/>
        <item x="465"/>
        <item x="445"/>
        <item x="515"/>
        <item x="440"/>
        <item x="514"/>
        <item x="521"/>
        <item x="80"/>
        <item x="83"/>
        <item x="85"/>
        <item x="82"/>
        <item x="87"/>
        <item x="88"/>
        <item x="89"/>
        <item x="90"/>
        <item x="91"/>
        <item x="93"/>
        <item x="94"/>
        <item x="92"/>
        <item x="84"/>
        <item x="81"/>
        <item x="79"/>
        <item x="86"/>
        <item x="360"/>
        <item x="362"/>
        <item x="364"/>
        <item x="368"/>
        <item x="359"/>
        <item x="366"/>
        <item x="372"/>
        <item x="370"/>
        <item x="369"/>
        <item x="371"/>
        <item x="365"/>
        <item x="363"/>
        <item x="367"/>
        <item x="356"/>
        <item x="361"/>
        <item x="357"/>
        <item x="358"/>
        <item x="401"/>
        <item x="403"/>
        <item x="336"/>
        <item x="158"/>
        <item x="404"/>
        <item x="431"/>
        <item x="345"/>
        <item x="435"/>
        <item x="406"/>
        <item x="408"/>
        <item x="163"/>
        <item x="159"/>
        <item x="335"/>
        <item x="128"/>
        <item x="393"/>
        <item x="389"/>
        <item x="156"/>
        <item x="162"/>
        <item x="98"/>
        <item x="339"/>
        <item x="437"/>
        <item x="436"/>
        <item x="102"/>
        <item x="167"/>
        <item x="410"/>
        <item x="338"/>
        <item x="472"/>
        <item x="419"/>
        <item x="334"/>
        <item x="475"/>
        <item x="131"/>
        <item x="438"/>
        <item x="129"/>
        <item x="434"/>
        <item x="341"/>
        <item x="291"/>
        <item x="414"/>
        <item x="157"/>
        <item x="113"/>
        <item x="297"/>
        <item x="421"/>
        <item x="105"/>
        <item x="112"/>
        <item x="428"/>
        <item x="479"/>
        <item x="149"/>
        <item x="379"/>
        <item x="390"/>
        <item x="380"/>
        <item x="426"/>
        <item x="294"/>
        <item x="169"/>
        <item x="376"/>
        <item x="411"/>
        <item x="375"/>
        <item x="427"/>
        <item x="101"/>
        <item x="108"/>
        <item x="423"/>
        <item x="154"/>
        <item x="298"/>
        <item x="350"/>
        <item x="137"/>
        <item x="382"/>
        <item x="424"/>
        <item x="95"/>
        <item x="296"/>
        <item x="145"/>
        <item x="476"/>
        <item x="151"/>
        <item x="340"/>
        <item x="119"/>
        <item x="430"/>
        <item x="152"/>
        <item x="377"/>
        <item x="153"/>
        <item x="285"/>
        <item x="135"/>
        <item x="107"/>
        <item x="383"/>
        <item x="422"/>
        <item x="480"/>
        <item x="118"/>
        <item x="139"/>
        <item x="384"/>
        <item x="295"/>
        <item x="106"/>
        <item x="120"/>
        <item x="385"/>
        <item x="387"/>
        <item x="386"/>
        <item x="121"/>
        <item x="123"/>
        <item x="122"/>
        <item x="99"/>
        <item x="126"/>
        <item x="140"/>
        <item x="110"/>
        <item x="124"/>
        <item x="397"/>
        <item x="125"/>
        <item x="425"/>
        <item x="116"/>
        <item x="136"/>
        <item x="133"/>
        <item x="109"/>
        <item x="115"/>
        <item x="292"/>
        <item x="114"/>
        <item x="373"/>
        <item x="400"/>
        <item x="355"/>
        <item x="138"/>
        <item x="104"/>
        <item x="117"/>
        <item x="429"/>
        <item x="132"/>
        <item x="144"/>
        <item x="418"/>
        <item x="399"/>
        <item x="381"/>
        <item x="293"/>
        <item x="142"/>
        <item x="150"/>
        <item x="164"/>
        <item x="415"/>
        <item x="392"/>
        <item x="378"/>
        <item x="134"/>
        <item x="290"/>
        <item x="395"/>
        <item x="416"/>
        <item x="412"/>
        <item x="284"/>
        <item x="148"/>
        <item x="396"/>
        <item x="346"/>
        <item x="417"/>
        <item x="286"/>
        <item x="127"/>
        <item x="398"/>
        <item x="165"/>
        <item x="473"/>
        <item x="287"/>
        <item x="166"/>
        <item x="394"/>
        <item x="147"/>
        <item x="413"/>
        <item x="146"/>
        <item x="409"/>
        <item x="374"/>
        <item x="353"/>
        <item x="111"/>
        <item x="352"/>
        <item x="354"/>
        <item x="288"/>
        <item x="477"/>
        <item x="130"/>
        <item x="351"/>
        <item x="289"/>
        <item x="343"/>
        <item x="478"/>
        <item x="103"/>
        <item x="331"/>
        <item x="168"/>
        <item x="342"/>
        <item x="143"/>
        <item x="97"/>
        <item x="420"/>
        <item x="161"/>
        <item x="348"/>
        <item x="96"/>
        <item x="349"/>
        <item x="391"/>
        <item x="347"/>
        <item x="402"/>
        <item x="100"/>
        <item x="405"/>
        <item x="141"/>
        <item x="388"/>
        <item x="155"/>
        <item x="337"/>
        <item x="344"/>
        <item x="407"/>
        <item x="474"/>
        <item x="433"/>
        <item x="160"/>
        <item x="432"/>
        <item x="333"/>
        <item x="332"/>
        <item x="471"/>
        <item x="252"/>
        <item x="259"/>
        <item x="239"/>
        <item x="262"/>
        <item x="237"/>
        <item x="263"/>
        <item x="243"/>
        <item x="245"/>
        <item x="261"/>
        <item x="253"/>
        <item x="265"/>
        <item x="266"/>
        <item x="235"/>
        <item x="236"/>
        <item x="242"/>
        <item x="244"/>
        <item x="241"/>
        <item x="246"/>
        <item x="255"/>
        <item x="260"/>
        <item x="250"/>
        <item x="249"/>
        <item x="247"/>
        <item x="248"/>
        <item x="257"/>
        <item x="258"/>
        <item x="238"/>
        <item x="240"/>
        <item x="254"/>
        <item x="264"/>
        <item x="256"/>
        <item x="251"/>
        <item x="267"/>
        <item x="302"/>
        <item x="300"/>
        <item x="270"/>
        <item x="322"/>
        <item x="276"/>
        <item x="273"/>
        <item x="274"/>
        <item x="324"/>
        <item x="299"/>
        <item x="306"/>
        <item x="325"/>
        <item x="316"/>
        <item x="319"/>
        <item x="307"/>
        <item x="317"/>
        <item x="275"/>
        <item x="314"/>
        <item x="312"/>
        <item x="330"/>
        <item x="282"/>
        <item x="268"/>
        <item x="279"/>
        <item x="304"/>
        <item x="281"/>
        <item x="315"/>
        <item x="280"/>
        <item x="328"/>
        <item x="320"/>
        <item x="305"/>
        <item x="277"/>
        <item x="318"/>
        <item x="321"/>
        <item x="310"/>
        <item x="326"/>
        <item x="323"/>
        <item x="283"/>
        <item x="313"/>
        <item x="303"/>
        <item x="309"/>
        <item x="329"/>
        <item x="278"/>
        <item x="311"/>
        <item x="308"/>
        <item x="327"/>
        <item x="271"/>
        <item x="272"/>
        <item x="269"/>
        <item x="301"/>
        <item x="171"/>
        <item x="178"/>
        <item x="177"/>
        <item x="170"/>
        <item x="181"/>
        <item x="180"/>
        <item x="179"/>
        <item x="182"/>
        <item x="176"/>
        <item x="185"/>
        <item x="183"/>
        <item x="175"/>
        <item x="174"/>
        <item x="184"/>
        <item x="173"/>
        <item x="172"/>
        <item x="482"/>
        <item x="485"/>
        <item x="496"/>
        <item x="497"/>
        <item x="498"/>
        <item x="489"/>
        <item x="486"/>
        <item x="490"/>
        <item x="221"/>
        <item x="494"/>
        <item x="484"/>
        <item x="220"/>
        <item x="219"/>
        <item x="222"/>
        <item x="207"/>
        <item x="204"/>
        <item x="215"/>
        <item x="206"/>
        <item x="224"/>
        <item x="233"/>
        <item x="205"/>
        <item x="208"/>
        <item x="225"/>
        <item x="210"/>
        <item x="195"/>
        <item x="199"/>
        <item x="191"/>
        <item x="228"/>
        <item x="201"/>
        <item x="230"/>
        <item x="188"/>
        <item x="189"/>
        <item x="227"/>
        <item x="194"/>
        <item x="223"/>
        <item x="211"/>
        <item x="190"/>
        <item x="202"/>
        <item x="234"/>
        <item x="213"/>
        <item x="192"/>
        <item x="218"/>
        <item x="196"/>
        <item x="231"/>
        <item x="226"/>
        <item x="193"/>
        <item x="187"/>
        <item x="200"/>
        <item x="217"/>
        <item x="186"/>
        <item x="198"/>
        <item x="197"/>
        <item x="216"/>
        <item x="209"/>
        <item x="487"/>
        <item x="229"/>
        <item x="212"/>
        <item x="214"/>
        <item x="232"/>
        <item x="488"/>
        <item x="499"/>
        <item x="203"/>
        <item x="492"/>
        <item x="495"/>
        <item x="493"/>
        <item x="483"/>
        <item x="491"/>
        <item x="481"/>
        <item x="503"/>
        <item x="506"/>
        <item x="500"/>
        <item x="502"/>
        <item x="507"/>
        <item x="505"/>
        <item x="65"/>
        <item x="70"/>
        <item x="68"/>
        <item x="511"/>
        <item x="36"/>
        <item x="73"/>
        <item x="51"/>
        <item x="53"/>
        <item x="74"/>
        <item x="76"/>
        <item x="56"/>
        <item x="509"/>
        <item x="44"/>
        <item x="41"/>
        <item x="47"/>
        <item x="40"/>
        <item x="78"/>
        <item x="60"/>
        <item x="29"/>
        <item x="32"/>
        <item x="42"/>
        <item x="30"/>
        <item x="18"/>
        <item x="19"/>
        <item x="2"/>
        <item x="39"/>
        <item x="24"/>
        <item x="57"/>
        <item x="3"/>
        <item x="21"/>
        <item x="26"/>
        <item x="75"/>
        <item x="59"/>
        <item x="10"/>
        <item x="27"/>
        <item x="8"/>
        <item x="31"/>
        <item x="16"/>
        <item x="14"/>
        <item x="45"/>
        <item x="9"/>
        <item x="15"/>
        <item x="13"/>
        <item x="7"/>
        <item x="5"/>
        <item x="12"/>
        <item x="11"/>
        <item x="4"/>
        <item x="0"/>
        <item x="54"/>
        <item x="49"/>
        <item x="6"/>
        <item x="33"/>
        <item x="28"/>
        <item x="63"/>
        <item x="510"/>
        <item x="52"/>
        <item x="37"/>
        <item x="48"/>
        <item x="23"/>
        <item x="62"/>
        <item x="58"/>
        <item x="1"/>
        <item x="77"/>
        <item x="25"/>
        <item x="38"/>
        <item x="72"/>
        <item x="50"/>
        <item x="64"/>
        <item x="43"/>
        <item x="61"/>
        <item x="35"/>
        <item x="22"/>
        <item x="46"/>
        <item x="17"/>
        <item x="20"/>
        <item x="67"/>
        <item x="34"/>
        <item x="55"/>
        <item x="69"/>
        <item x="66"/>
        <item x="501"/>
        <item x="71"/>
        <item x="512"/>
        <item x="508"/>
        <item x="504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colItems>
  <pageFields count="1">
    <pageField fld="10" hier="0"/>
  </pageFields>
  <dataFields count="1">
    <dataField name="Sum of Revenue_usd_bn" fld="5" baseField="0" baseItem="0"/>
  </dataFields>
  <chartFormats count="40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6">
  <location ref="A49:B90" firstHeaderRow="1" firstDataRow="1" firstDataCol="1" rowPageCount="2" colPageCount="1"/>
  <pivotFields count="14">
    <pivotField axis="axisPage" compact="0"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t="default"/>
      </items>
    </pivotField>
    <pivotField axis="axisRow" compact="0" multipleItemSelectionAllowed="1" showAll="0">
      <items count="41">
        <item x="6"/>
        <item x="16"/>
        <item x="24"/>
        <item x="23"/>
        <item x="8"/>
        <item x="30"/>
        <item x="35"/>
        <item x="33"/>
        <item x="2"/>
        <item x="36"/>
        <item x="37"/>
        <item x="31"/>
        <item x="34"/>
        <item x="17"/>
        <item x="11"/>
        <item x="26"/>
        <item x="25"/>
        <item x="10"/>
        <item x="9"/>
        <item x="21"/>
        <item x="14"/>
        <item x="5"/>
        <item x="19"/>
        <item x="22"/>
        <item x="7"/>
        <item x="20"/>
        <item x="38"/>
        <item x="1"/>
        <item x="12"/>
        <item x="28"/>
        <item x="13"/>
        <item x="4"/>
        <item x="18"/>
        <item x="29"/>
        <item x="39"/>
        <item x="15"/>
        <item x="27"/>
        <item x="0"/>
        <item x="3"/>
        <item x="32"/>
        <item t="default"/>
      </items>
    </pivotField>
    <pivotField compact="0" showAll="0">
      <items count="40">
        <item x="33"/>
        <item x="9"/>
        <item x="19"/>
        <item x="27"/>
        <item x="26"/>
        <item x="12"/>
        <item x="1"/>
        <item x="4"/>
        <item x="15"/>
        <item x="23"/>
        <item x="6"/>
        <item x="22"/>
        <item x="8"/>
        <item x="29"/>
        <item x="34"/>
        <item x="32"/>
        <item x="2"/>
        <item x="35"/>
        <item x="36"/>
        <item x="30"/>
        <item x="16"/>
        <item x="11"/>
        <item x="25"/>
        <item x="24"/>
        <item x="20"/>
        <item x="10"/>
        <item x="13"/>
        <item x="5"/>
        <item x="18"/>
        <item x="21"/>
        <item x="7"/>
        <item x="37"/>
        <item x="28"/>
        <item x="17"/>
        <item x="38"/>
        <item x="0"/>
        <item x="14"/>
        <item x="3"/>
        <item x="31"/>
        <item t="default"/>
      </items>
    </pivotField>
    <pivotField compact="0" showAll="0">
      <items count="10">
        <item x="3"/>
        <item x="4"/>
        <item x="5"/>
        <item x="8"/>
        <item x="7"/>
        <item x="1"/>
        <item x="6"/>
        <item x="0"/>
        <item x="2"/>
        <item t="default"/>
      </items>
    </pivotField>
    <pivotField compact="0" showAll="0">
      <items count="21">
        <item x="18"/>
        <item x="17"/>
        <item x="14"/>
        <item x="15"/>
        <item x="16"/>
        <item x="13"/>
        <item x="19"/>
        <item x="2"/>
        <item x="4"/>
        <item x="1"/>
        <item x="3"/>
        <item x="5"/>
        <item x="0"/>
        <item x="8"/>
        <item x="9"/>
        <item x="6"/>
        <item x="10"/>
        <item x="7"/>
        <item x="11"/>
        <item x="12"/>
        <item t="default"/>
      </items>
    </pivotField>
    <pivotField compact="0" showAll="0">
      <items count="538">
        <item x="518"/>
        <item x="534"/>
        <item x="527"/>
        <item x="528"/>
        <item x="525"/>
        <item x="526"/>
        <item x="524"/>
        <item x="489"/>
        <item x="519"/>
        <item x="490"/>
        <item x="520"/>
        <item x="497"/>
        <item x="532"/>
        <item x="529"/>
        <item x="491"/>
        <item x="506"/>
        <item x="505"/>
        <item x="507"/>
        <item x="508"/>
        <item x="509"/>
        <item x="535"/>
        <item x="510"/>
        <item x="521"/>
        <item x="512"/>
        <item x="511"/>
        <item x="533"/>
        <item x="513"/>
        <item x="498"/>
        <item x="463"/>
        <item x="476"/>
        <item x="514"/>
        <item x="464"/>
        <item x="536"/>
        <item x="465"/>
        <item x="492"/>
        <item x="530"/>
        <item x="466"/>
        <item x="451"/>
        <item x="499"/>
        <item x="338"/>
        <item x="452"/>
        <item x="339"/>
        <item x="477"/>
        <item x="65"/>
        <item x="522"/>
        <item x="412"/>
        <item x="340"/>
        <item x="453"/>
        <item x="515"/>
        <item x="467"/>
        <item x="66"/>
        <item x="68"/>
        <item x="67"/>
        <item x="341"/>
        <item x="342"/>
        <item x="468"/>
        <item x="531"/>
        <item x="440"/>
        <item x="454"/>
        <item x="69"/>
        <item x="414"/>
        <item x="413"/>
        <item x="441"/>
        <item x="343"/>
        <item x="70"/>
        <item x="517"/>
        <item x="478"/>
        <item x="443"/>
        <item x="455"/>
        <item x="500"/>
        <item x="353"/>
        <item x="442"/>
        <item x="516"/>
        <item x="415"/>
        <item x="170"/>
        <item x="469"/>
        <item x="523"/>
        <item x="444"/>
        <item x="456"/>
        <item x="354"/>
        <item x="168"/>
        <item x="398"/>
        <item x="169"/>
        <item x="470"/>
        <item x="171"/>
        <item x="71"/>
        <item x="355"/>
        <item x="447"/>
        <item x="167"/>
        <item x="166"/>
        <item x="416"/>
        <item x="446"/>
        <item x="479"/>
        <item x="457"/>
        <item x="344"/>
        <item x="260"/>
        <item x="445"/>
        <item x="72"/>
        <item x="165"/>
        <item x="261"/>
        <item x="17"/>
        <item x="501"/>
        <item x="417"/>
        <item x="262"/>
        <item x="356"/>
        <item x="448"/>
        <item x="471"/>
        <item x="73"/>
        <item x="263"/>
        <item x="345"/>
        <item x="264"/>
        <item x="480"/>
        <item x="163"/>
        <item x="265"/>
        <item x="164"/>
        <item x="82"/>
        <item x="472"/>
        <item x="146"/>
        <item x="357"/>
        <item x="34"/>
        <item x="74"/>
        <item x="418"/>
        <item x="35"/>
        <item x="18"/>
        <item x="399"/>
        <item x="83"/>
        <item x="458"/>
        <item x="75"/>
        <item x="132"/>
        <item x="84"/>
        <item x="103"/>
        <item x="36"/>
        <item x="449"/>
        <item x="502"/>
        <item x="346"/>
        <item x="493"/>
        <item x="450"/>
        <item x="147"/>
        <item x="266"/>
        <item x="400"/>
        <item x="351"/>
        <item x="19"/>
        <item x="51"/>
        <item x="50"/>
        <item x="37"/>
        <item x="459"/>
        <item x="358"/>
        <item x="473"/>
        <item x="307"/>
        <item x="401"/>
        <item x="102"/>
        <item x="53"/>
        <item x="278"/>
        <item x="277"/>
        <item x="172"/>
        <item x="85"/>
        <item x="52"/>
        <item x="38"/>
        <item x="86"/>
        <item x="54"/>
        <item x="347"/>
        <item x="308"/>
        <item x="460"/>
        <item x="55"/>
        <item x="419"/>
        <item x="148"/>
        <item x="104"/>
        <item x="474"/>
        <item x="43"/>
        <item x="481"/>
        <item x="267"/>
        <item x="39"/>
        <item x="361"/>
        <item x="279"/>
        <item x="56"/>
        <item x="402"/>
        <item x="494"/>
        <item x="87"/>
        <item x="20"/>
        <item x="430"/>
        <item x="57"/>
        <item x="348"/>
        <item x="101"/>
        <item x="309"/>
        <item x="174"/>
        <item x="40"/>
        <item x="76"/>
        <item x="429"/>
        <item x="149"/>
        <item x="360"/>
        <item x="105"/>
        <item x="21"/>
        <item x="310"/>
        <item x="461"/>
        <item x="475"/>
        <item x="41"/>
        <item x="270"/>
        <item x="428"/>
        <item x="175"/>
        <item x="100"/>
        <item x="311"/>
        <item x="503"/>
        <item x="173"/>
        <item x="269"/>
        <item x="312"/>
        <item x="359"/>
        <item x="42"/>
        <item x="150"/>
        <item x="58"/>
        <item x="427"/>
        <item x="99"/>
        <item x="133"/>
        <item x="268"/>
        <item x="426"/>
        <item x="151"/>
        <item x="368"/>
        <item x="106"/>
        <item x="88"/>
        <item x="370"/>
        <item x="22"/>
        <item x="329"/>
        <item x="47"/>
        <item x="280"/>
        <item x="369"/>
        <item x="482"/>
        <item x="330"/>
        <item x="44"/>
        <item x="367"/>
        <item x="371"/>
        <item x="78"/>
        <item x="486"/>
        <item x="462"/>
        <item x="331"/>
        <item x="328"/>
        <item x="352"/>
        <item x="61"/>
        <item x="425"/>
        <item x="504"/>
        <item x="134"/>
        <item x="152"/>
        <item x="349"/>
        <item x="46"/>
        <item x="295"/>
        <item x="326"/>
        <item x="77"/>
        <item x="372"/>
        <item x="176"/>
        <item x="362"/>
        <item x="327"/>
        <item x="403"/>
        <item x="48"/>
        <item x="431"/>
        <item x="153"/>
        <item x="62"/>
        <item x="49"/>
        <item x="420"/>
        <item x="483"/>
        <item x="313"/>
        <item x="495"/>
        <item x="294"/>
        <item x="59"/>
        <item x="350"/>
        <item x="154"/>
        <item x="314"/>
        <item x="296"/>
        <item x="45"/>
        <item x="281"/>
        <item x="365"/>
        <item x="282"/>
        <item x="64"/>
        <item x="63"/>
        <item x="293"/>
        <item x="107"/>
        <item x="79"/>
        <item x="373"/>
        <item x="89"/>
        <item x="364"/>
        <item x="363"/>
        <item x="332"/>
        <item x="23"/>
        <item x="283"/>
        <item x="297"/>
        <item x="496"/>
        <item x="177"/>
        <item x="271"/>
        <item x="227"/>
        <item x="387"/>
        <item x="316"/>
        <item x="366"/>
        <item x="284"/>
        <item x="386"/>
        <item x="315"/>
        <item x="292"/>
        <item x="484"/>
        <item x="325"/>
        <item x="298"/>
        <item x="385"/>
        <item x="335"/>
        <item x="383"/>
        <item x="60"/>
        <item x="291"/>
        <item x="274"/>
        <item x="384"/>
        <item x="432"/>
        <item x="90"/>
        <item x="155"/>
        <item x="108"/>
        <item x="290"/>
        <item x="422"/>
        <item x="228"/>
        <item x="300"/>
        <item x="421"/>
        <item x="80"/>
        <item x="334"/>
        <item x="405"/>
        <item x="24"/>
        <item x="299"/>
        <item x="156"/>
        <item x="336"/>
        <item x="487"/>
        <item x="212"/>
        <item x="115"/>
        <item x="404"/>
        <item x="485"/>
        <item x="317"/>
        <item x="434"/>
        <item x="275"/>
        <item x="135"/>
        <item x="337"/>
        <item x="333"/>
        <item x="433"/>
        <item x="324"/>
        <item x="488"/>
        <item x="213"/>
        <item x="229"/>
        <item x="423"/>
        <item x="273"/>
        <item x="81"/>
        <item x="25"/>
        <item x="272"/>
        <item x="388"/>
        <item x="323"/>
        <item x="30"/>
        <item x="374"/>
        <item x="249"/>
        <item x="91"/>
        <item x="304"/>
        <item x="26"/>
        <item x="320"/>
        <item x="276"/>
        <item x="319"/>
        <item x="301"/>
        <item x="230"/>
        <item x="244"/>
        <item x="159"/>
        <item x="0"/>
        <item x="116"/>
        <item x="318"/>
        <item x="248"/>
        <item x="424"/>
        <item x="247"/>
        <item x="438"/>
        <item x="375"/>
        <item x="245"/>
        <item x="435"/>
        <item x="246"/>
        <item x="406"/>
        <item x="157"/>
        <item x="254"/>
        <item x="389"/>
        <item x="27"/>
        <item x="250"/>
        <item x="214"/>
        <item x="437"/>
        <item x="231"/>
        <item x="285"/>
        <item x="409"/>
        <item x="257"/>
        <item x="321"/>
        <item x="240"/>
        <item x="215"/>
        <item x="253"/>
        <item x="287"/>
        <item x="251"/>
        <item x="322"/>
        <item x="288"/>
        <item x="117"/>
        <item x="232"/>
        <item x="305"/>
        <item x="302"/>
        <item x="390"/>
        <item x="376"/>
        <item x="407"/>
        <item x="136"/>
        <item x="1"/>
        <item x="306"/>
        <item x="28"/>
        <item x="252"/>
        <item x="436"/>
        <item x="391"/>
        <item x="439"/>
        <item x="258"/>
        <item x="286"/>
        <item x="160"/>
        <item x="392"/>
        <item x="410"/>
        <item x="256"/>
        <item x="408"/>
        <item x="289"/>
        <item x="216"/>
        <item x="2"/>
        <item x="92"/>
        <item x="303"/>
        <item x="109"/>
        <item x="29"/>
        <item x="31"/>
        <item x="411"/>
        <item x="161"/>
        <item x="255"/>
        <item x="259"/>
        <item x="158"/>
        <item x="237"/>
        <item x="233"/>
        <item x="32"/>
        <item x="137"/>
        <item x="118"/>
        <item x="377"/>
        <item x="3"/>
        <item x="119"/>
        <item x="93"/>
        <item x="111"/>
        <item x="162"/>
        <item x="33"/>
        <item x="138"/>
        <item x="123"/>
        <item x="393"/>
        <item x="217"/>
        <item x="241"/>
        <item x="110"/>
        <item x="124"/>
        <item x="125"/>
        <item x="378"/>
        <item x="4"/>
        <item x="121"/>
        <item x="238"/>
        <item x="122"/>
        <item x="139"/>
        <item x="223"/>
        <item x="236"/>
        <item x="112"/>
        <item x="94"/>
        <item x="234"/>
        <item x="221"/>
        <item x="120"/>
        <item x="5"/>
        <item x="394"/>
        <item x="395"/>
        <item x="140"/>
        <item x="6"/>
        <item x="218"/>
        <item x="235"/>
        <item x="379"/>
        <item x="222"/>
        <item x="195"/>
        <item x="380"/>
        <item x="239"/>
        <item x="7"/>
        <item x="220"/>
        <item x="397"/>
        <item x="196"/>
        <item x="396"/>
        <item x="113"/>
        <item x="141"/>
        <item x="126"/>
        <item x="242"/>
        <item x="142"/>
        <item x="8"/>
        <item x="197"/>
        <item x="219"/>
        <item x="198"/>
        <item x="128"/>
        <item x="243"/>
        <item x="381"/>
        <item x="200"/>
        <item x="199"/>
        <item x="129"/>
        <item x="114"/>
        <item x="9"/>
        <item x="130"/>
        <item x="382"/>
        <item x="178"/>
        <item x="127"/>
        <item x="10"/>
        <item x="179"/>
        <item x="131"/>
        <item x="208"/>
        <item x="182"/>
        <item x="180"/>
        <item x="181"/>
        <item x="224"/>
        <item x="201"/>
        <item x="183"/>
        <item x="191"/>
        <item x="143"/>
        <item x="192"/>
        <item x="193"/>
        <item x="194"/>
        <item x="225"/>
        <item x="184"/>
        <item x="95"/>
        <item x="144"/>
        <item x="11"/>
        <item x="202"/>
        <item x="190"/>
        <item x="205"/>
        <item x="186"/>
        <item x="185"/>
        <item x="206"/>
        <item x="145"/>
        <item x="13"/>
        <item x="226"/>
        <item x="189"/>
        <item x="187"/>
        <item x="204"/>
        <item x="209"/>
        <item x="12"/>
        <item x="207"/>
        <item x="203"/>
        <item x="188"/>
        <item x="210"/>
        <item x="14"/>
        <item x="211"/>
        <item x="15"/>
        <item x="16"/>
        <item x="96"/>
        <item x="97"/>
        <item x="98"/>
        <item t="default"/>
      </items>
    </pivotField>
    <pivotField dataField="1" compact="0" showAll="0">
      <items count="319">
        <item x="313"/>
        <item x="297"/>
        <item x="299"/>
        <item x="295"/>
        <item x="303"/>
        <item x="226"/>
        <item x="316"/>
        <item x="308"/>
        <item x="298"/>
        <item x="307"/>
        <item x="296"/>
        <item x="148"/>
        <item x="311"/>
        <item x="315"/>
        <item x="309"/>
        <item x="150"/>
        <item x="294"/>
        <item x="151"/>
        <item x="305"/>
        <item x="310"/>
        <item x="317"/>
        <item x="164"/>
        <item x="179"/>
        <item x="149"/>
        <item x="312"/>
        <item x="304"/>
        <item x="165"/>
        <item x="300"/>
        <item x="211"/>
        <item x="178"/>
        <item x="302"/>
        <item x="166"/>
        <item x="224"/>
        <item x="152"/>
        <item x="301"/>
        <item x="217"/>
        <item x="306"/>
        <item x="229"/>
        <item x="154"/>
        <item x="314"/>
        <item x="138"/>
        <item x="219"/>
        <item x="209"/>
        <item x="221"/>
        <item x="223"/>
        <item x="155"/>
        <item x="279"/>
        <item x="180"/>
        <item x="177"/>
        <item x="144"/>
        <item x="276"/>
        <item x="76"/>
        <item x="153"/>
        <item x="141"/>
        <item x="74"/>
        <item x="175"/>
        <item x="157"/>
        <item x="82"/>
        <item x="204"/>
        <item x="278"/>
        <item x="126"/>
        <item x="231"/>
        <item x="174"/>
        <item x="206"/>
        <item x="142"/>
        <item x="230"/>
        <item x="277"/>
        <item x="80"/>
        <item x="87"/>
        <item x="210"/>
        <item x="85"/>
        <item x="156"/>
        <item x="215"/>
        <item x="77"/>
        <item x="139"/>
        <item x="207"/>
        <item x="130"/>
        <item x="75"/>
        <item x="84"/>
        <item x="163"/>
        <item x="232"/>
        <item x="88"/>
        <item x="168"/>
        <item x="275"/>
        <item x="182"/>
        <item x="73"/>
        <item x="233"/>
        <item x="214"/>
        <item x="145"/>
        <item x="147"/>
        <item x="167"/>
        <item x="158"/>
        <item x="81"/>
        <item x="225"/>
        <item x="222"/>
        <item x="203"/>
        <item x="181"/>
        <item x="212"/>
        <item x="146"/>
        <item x="143"/>
        <item x="136"/>
        <item x="227"/>
        <item x="253"/>
        <item x="220"/>
        <item x="171"/>
        <item x="113"/>
        <item x="208"/>
        <item x="137"/>
        <item x="176"/>
        <item x="78"/>
        <item x="162"/>
        <item x="291"/>
        <item x="86"/>
        <item x="250"/>
        <item x="140"/>
        <item x="79"/>
        <item x="216"/>
        <item x="289"/>
        <item x="213"/>
        <item x="228"/>
        <item x="135"/>
        <item x="173"/>
        <item x="108"/>
        <item x="287"/>
        <item x="114"/>
        <item x="83"/>
        <item x="133"/>
        <item x="134"/>
        <item x="98"/>
        <item x="205"/>
        <item x="91"/>
        <item x="129"/>
        <item x="236"/>
        <item x="127"/>
        <item x="93"/>
        <item x="248"/>
        <item x="106"/>
        <item x="116"/>
        <item x="237"/>
        <item x="95"/>
        <item x="255"/>
        <item x="132"/>
        <item x="131"/>
        <item x="218"/>
        <item x="121"/>
        <item x="100"/>
        <item x="89"/>
        <item x="258"/>
        <item x="110"/>
        <item x="172"/>
        <item x="97"/>
        <item x="115"/>
        <item x="120"/>
        <item x="99"/>
        <item x="263"/>
        <item x="122"/>
        <item x="288"/>
        <item x="252"/>
        <item x="90"/>
        <item x="124"/>
        <item x="262"/>
        <item x="102"/>
        <item x="251"/>
        <item x="111"/>
        <item x="260"/>
        <item x="112"/>
        <item x="247"/>
        <item x="107"/>
        <item x="103"/>
        <item x="94"/>
        <item x="101"/>
        <item x="105"/>
        <item x="119"/>
        <item x="109"/>
        <item x="290"/>
        <item x="244"/>
        <item x="128"/>
        <item x="125"/>
        <item x="259"/>
        <item x="123"/>
        <item x="96"/>
        <item x="261"/>
        <item x="256"/>
        <item x="273"/>
        <item x="170"/>
        <item x="257"/>
        <item x="293"/>
        <item x="161"/>
        <item x="169"/>
        <item x="286"/>
        <item x="246"/>
        <item x="274"/>
        <item x="292"/>
        <item x="117"/>
        <item x="249"/>
        <item x="235"/>
        <item x="239"/>
        <item x="241"/>
        <item x="254"/>
        <item x="42"/>
        <item x="265"/>
        <item x="283"/>
        <item x="243"/>
        <item x="118"/>
        <item x="267"/>
        <item x="92"/>
        <item x="272"/>
        <item x="37"/>
        <item x="49"/>
        <item x="2"/>
        <item x="240"/>
        <item x="104"/>
        <item x="47"/>
        <item x="30"/>
        <item x="270"/>
        <item x="0"/>
        <item x="38"/>
        <item x="7"/>
        <item x="48"/>
        <item x="39"/>
        <item x="4"/>
        <item x="16"/>
        <item x="15"/>
        <item x="238"/>
        <item x="56"/>
        <item x="9"/>
        <item x="23"/>
        <item x="242"/>
        <item x="245"/>
        <item x="43"/>
        <item x="54"/>
        <item x="28"/>
        <item x="264"/>
        <item x="14"/>
        <item x="11"/>
        <item x="22"/>
        <item x="3"/>
        <item x="284"/>
        <item x="45"/>
        <item x="29"/>
        <item x="10"/>
        <item x="53"/>
        <item x="35"/>
        <item x="36"/>
        <item x="8"/>
        <item x="34"/>
        <item x="44"/>
        <item x="20"/>
        <item x="268"/>
        <item x="281"/>
        <item x="33"/>
        <item x="202"/>
        <item x="19"/>
        <item x="52"/>
        <item x="159"/>
        <item x="280"/>
        <item x="12"/>
        <item x="57"/>
        <item x="13"/>
        <item x="160"/>
        <item x="31"/>
        <item x="18"/>
        <item x="26"/>
        <item x="21"/>
        <item x="17"/>
        <item x="32"/>
        <item x="41"/>
        <item x="5"/>
        <item x="27"/>
        <item x="50"/>
        <item x="193"/>
        <item x="197"/>
        <item x="1"/>
        <item x="25"/>
        <item x="199"/>
        <item x="266"/>
        <item x="6"/>
        <item x="271"/>
        <item x="234"/>
        <item x="187"/>
        <item x="40"/>
        <item x="46"/>
        <item x="282"/>
        <item x="186"/>
        <item x="24"/>
        <item x="183"/>
        <item x="201"/>
        <item x="55"/>
        <item x="188"/>
        <item x="200"/>
        <item x="184"/>
        <item x="269"/>
        <item x="190"/>
        <item x="195"/>
        <item x="191"/>
        <item x="194"/>
        <item x="198"/>
        <item x="285"/>
        <item x="192"/>
        <item x="51"/>
        <item x="189"/>
        <item x="185"/>
        <item x="196"/>
        <item x="59"/>
        <item x="68"/>
        <item x="66"/>
        <item x="60"/>
        <item x="62"/>
        <item x="61"/>
        <item x="58"/>
        <item x="63"/>
        <item x="69"/>
        <item x="67"/>
        <item x="70"/>
        <item x="64"/>
        <item x="65"/>
        <item x="72"/>
        <item x="71"/>
        <item t="default"/>
      </items>
    </pivotField>
    <pivotField compact="0" showAll="0">
      <items count="408">
        <item x="398"/>
        <item x="399"/>
        <item x="385"/>
        <item x="400"/>
        <item x="403"/>
        <item x="406"/>
        <item x="386"/>
        <item x="389"/>
        <item x="401"/>
        <item x="402"/>
        <item x="404"/>
        <item x="387"/>
        <item x="405"/>
        <item x="391"/>
        <item x="392"/>
        <item x="390"/>
        <item x="394"/>
        <item x="393"/>
        <item x="352"/>
        <item x="395"/>
        <item x="379"/>
        <item x="396"/>
        <item x="369"/>
        <item x="357"/>
        <item x="356"/>
        <item x="353"/>
        <item x="370"/>
        <item x="355"/>
        <item x="358"/>
        <item x="380"/>
        <item x="295"/>
        <item x="371"/>
        <item x="354"/>
        <item x="288"/>
        <item x="360"/>
        <item x="361"/>
        <item x="359"/>
        <item x="296"/>
        <item x="160"/>
        <item x="155"/>
        <item x="161"/>
        <item x="159"/>
        <item x="372"/>
        <item x="290"/>
        <item x="64"/>
        <item x="158"/>
        <item x="337"/>
        <item x="373"/>
        <item x="326"/>
        <item x="66"/>
        <item x="362"/>
        <item x="374"/>
        <item x="162"/>
        <item x="67"/>
        <item x="156"/>
        <item x="157"/>
        <item x="97"/>
        <item x="289"/>
        <item x="98"/>
        <item x="68"/>
        <item x="255"/>
        <item x="153"/>
        <item x="65"/>
        <item x="154"/>
        <item x="99"/>
        <item x="297"/>
        <item x="276"/>
        <item x="95"/>
        <item x="257"/>
        <item x="397"/>
        <item x="163"/>
        <item x="101"/>
        <item x="96"/>
        <item x="338"/>
        <item x="275"/>
        <item x="365"/>
        <item x="364"/>
        <item x="363"/>
        <item x="69"/>
        <item x="70"/>
        <item x="327"/>
        <item x="283"/>
        <item x="375"/>
        <item x="299"/>
        <item x="100"/>
        <item x="267"/>
        <item x="286"/>
        <item x="94"/>
        <item x="277"/>
        <item x="127"/>
        <item x="71"/>
        <item x="245"/>
        <item x="244"/>
        <item x="339"/>
        <item x="376"/>
        <item x="284"/>
        <item x="280"/>
        <item x="17"/>
        <item x="35"/>
        <item x="259"/>
        <item x="102"/>
        <item x="18"/>
        <item x="366"/>
        <item x="298"/>
        <item x="34"/>
        <item x="269"/>
        <item x="256"/>
        <item x="214"/>
        <item x="266"/>
        <item x="282"/>
        <item x="139"/>
        <item x="258"/>
        <item x="246"/>
        <item x="128"/>
        <item x="140"/>
        <item x="218"/>
        <item x="217"/>
        <item x="278"/>
        <item x="343"/>
        <item x="53"/>
        <item x="201"/>
        <item x="36"/>
        <item x="341"/>
        <item x="72"/>
        <item x="285"/>
        <item x="52"/>
        <item x="342"/>
        <item x="164"/>
        <item x="141"/>
        <item x="279"/>
        <item x="247"/>
        <item x="142"/>
        <item x="19"/>
        <item x="54"/>
        <item x="216"/>
        <item x="51"/>
        <item x="143"/>
        <item x="37"/>
        <item x="38"/>
        <item x="265"/>
        <item x="80"/>
        <item x="79"/>
        <item x="55"/>
        <item x="377"/>
        <item x="381"/>
        <item x="39"/>
        <item x="367"/>
        <item x="73"/>
        <item x="56"/>
        <item x="103"/>
        <item x="287"/>
        <item x="44"/>
        <item x="165"/>
        <item x="40"/>
        <item x="388"/>
        <item x="305"/>
        <item x="264"/>
        <item x="301"/>
        <item x="57"/>
        <item x="248"/>
        <item x="291"/>
        <item x="20"/>
        <item x="328"/>
        <item x="43"/>
        <item x="41"/>
        <item x="304"/>
        <item x="149"/>
        <item x="303"/>
        <item x="215"/>
        <item x="344"/>
        <item x="302"/>
        <item x="21"/>
        <item x="382"/>
        <item x="294"/>
        <item x="166"/>
        <item x="48"/>
        <item x="300"/>
        <item x="219"/>
        <item x="42"/>
        <item x="270"/>
        <item x="47"/>
        <item x="75"/>
        <item x="144"/>
        <item x="61"/>
        <item x="185"/>
        <item x="383"/>
        <item x="81"/>
        <item x="45"/>
        <item x="22"/>
        <item x="58"/>
        <item x="260"/>
        <item x="74"/>
        <item x="281"/>
        <item x="49"/>
        <item x="378"/>
        <item x="250"/>
        <item x="384"/>
        <item x="317"/>
        <item x="272"/>
        <item x="306"/>
        <item x="249"/>
        <item x="268"/>
        <item x="316"/>
        <item x="82"/>
        <item x="329"/>
        <item x="292"/>
        <item x="350"/>
        <item x="63"/>
        <item x="110"/>
        <item x="76"/>
        <item x="330"/>
        <item x="146"/>
        <item x="368"/>
        <item x="226"/>
        <item x="145"/>
        <item x="59"/>
        <item x="129"/>
        <item x="46"/>
        <item x="274"/>
        <item x="62"/>
        <item x="347"/>
        <item x="273"/>
        <item x="50"/>
        <item x="261"/>
        <item x="345"/>
        <item x="262"/>
        <item x="293"/>
        <item x="60"/>
        <item x="23"/>
        <item x="202"/>
        <item x="263"/>
        <item x="346"/>
        <item x="348"/>
        <item x="251"/>
        <item x="83"/>
        <item x="271"/>
        <item x="187"/>
        <item x="332"/>
        <item x="106"/>
        <item x="111"/>
        <item x="254"/>
        <item x="112"/>
        <item x="147"/>
        <item x="307"/>
        <item x="24"/>
        <item x="331"/>
        <item x="77"/>
        <item x="220"/>
        <item x="309"/>
        <item x="308"/>
        <item x="105"/>
        <item x="334"/>
        <item x="150"/>
        <item x="203"/>
        <item x="349"/>
        <item x="319"/>
        <item x="104"/>
        <item x="318"/>
        <item x="186"/>
        <item x="78"/>
        <item x="181"/>
        <item x="30"/>
        <item x="336"/>
        <item x="130"/>
        <item x="84"/>
        <item x="0"/>
        <item x="26"/>
        <item x="184"/>
        <item x="85"/>
        <item x="179"/>
        <item x="25"/>
        <item x="333"/>
        <item x="351"/>
        <item x="253"/>
        <item x="182"/>
        <item x="234"/>
        <item x="113"/>
        <item x="27"/>
        <item x="252"/>
        <item x="132"/>
        <item x="335"/>
        <item x="210"/>
        <item x="340"/>
        <item x="180"/>
        <item x="151"/>
        <item x="310"/>
        <item x="230"/>
        <item x="188"/>
        <item x="108"/>
        <item x="238"/>
        <item x="120"/>
        <item x="131"/>
        <item x="107"/>
        <item x="231"/>
        <item x="148"/>
        <item x="2"/>
        <item x="241"/>
        <item x="232"/>
        <item x="168"/>
        <item x="235"/>
        <item x="227"/>
        <item x="320"/>
        <item x="117"/>
        <item x="233"/>
        <item x="119"/>
        <item x="204"/>
        <item x="152"/>
        <item x="1"/>
        <item x="242"/>
        <item x="189"/>
        <item x="115"/>
        <item x="118"/>
        <item x="28"/>
        <item x="229"/>
        <item x="116"/>
        <item x="183"/>
        <item x="236"/>
        <item x="31"/>
        <item x="237"/>
        <item x="86"/>
        <item x="114"/>
        <item x="109"/>
        <item x="223"/>
        <item x="29"/>
        <item x="239"/>
        <item x="311"/>
        <item x="171"/>
        <item x="321"/>
        <item x="322"/>
        <item x="3"/>
        <item x="123"/>
        <item x="33"/>
        <item x="323"/>
        <item x="243"/>
        <item x="228"/>
        <item x="133"/>
        <item x="32"/>
        <item x="190"/>
        <item x="224"/>
        <item x="207"/>
        <item x="240"/>
        <item x="4"/>
        <item x="172"/>
        <item x="169"/>
        <item x="87"/>
        <item x="134"/>
        <item x="221"/>
        <item x="121"/>
        <item x="222"/>
        <item x="174"/>
        <item x="135"/>
        <item x="313"/>
        <item x="325"/>
        <item x="206"/>
        <item x="324"/>
        <item x="312"/>
        <item x="205"/>
        <item x="5"/>
        <item x="197"/>
        <item x="208"/>
        <item x="167"/>
        <item x="7"/>
        <item x="170"/>
        <item x="124"/>
        <item x="213"/>
        <item x="122"/>
        <item x="6"/>
        <item x="88"/>
        <item x="8"/>
        <item x="125"/>
        <item x="314"/>
        <item x="191"/>
        <item x="173"/>
        <item x="225"/>
        <item x="175"/>
        <item x="89"/>
        <item x="136"/>
        <item x="126"/>
        <item x="212"/>
        <item x="211"/>
        <item x="178"/>
        <item x="209"/>
        <item x="176"/>
        <item x="315"/>
        <item x="177"/>
        <item x="9"/>
        <item x="10"/>
        <item x="137"/>
        <item x="200"/>
        <item x="138"/>
        <item x="198"/>
        <item x="199"/>
        <item x="192"/>
        <item x="11"/>
        <item x="196"/>
        <item x="194"/>
        <item x="195"/>
        <item x="13"/>
        <item x="12"/>
        <item x="193"/>
        <item x="90"/>
        <item x="14"/>
        <item x="15"/>
        <item x="16"/>
        <item x="91"/>
        <item x="92"/>
        <item x="93"/>
        <item t="default"/>
      </items>
    </pivotField>
    <pivotField compact="0" showAll="0">
      <items count="299">
        <item x="294"/>
        <item x="285"/>
        <item x="296"/>
        <item x="286"/>
        <item x="297"/>
        <item x="287"/>
        <item x="290"/>
        <item x="291"/>
        <item x="292"/>
        <item x="288"/>
        <item x="295"/>
        <item x="280"/>
        <item x="54"/>
        <item x="289"/>
        <item x="55"/>
        <item x="56"/>
        <item x="57"/>
        <item x="238"/>
        <item x="239"/>
        <item x="293"/>
        <item x="58"/>
        <item x="273"/>
        <item x="240"/>
        <item x="17"/>
        <item x="267"/>
        <item x="59"/>
        <item x="242"/>
        <item x="268"/>
        <item x="18"/>
        <item x="243"/>
        <item x="60"/>
        <item x="34"/>
        <item x="137"/>
        <item x="19"/>
        <item x="35"/>
        <item x="47"/>
        <item x="36"/>
        <item x="48"/>
        <item x="49"/>
        <item x="41"/>
        <item x="37"/>
        <item x="20"/>
        <item x="126"/>
        <item x="38"/>
        <item x="21"/>
        <item x="39"/>
        <item x="112"/>
        <item x="40"/>
        <item x="241"/>
        <item x="127"/>
        <item x="22"/>
        <item x="42"/>
        <item x="62"/>
        <item x="52"/>
        <item x="44"/>
        <item x="61"/>
        <item x="45"/>
        <item x="46"/>
        <item x="281"/>
        <item x="204"/>
        <item x="50"/>
        <item x="244"/>
        <item x="43"/>
        <item x="53"/>
        <item x="63"/>
        <item x="128"/>
        <item x="23"/>
        <item x="205"/>
        <item x="139"/>
        <item x="138"/>
        <item x="129"/>
        <item x="209"/>
        <item x="113"/>
        <item x="51"/>
        <item x="278"/>
        <item x="130"/>
        <item x="234"/>
        <item x="85"/>
        <item x="282"/>
        <item x="64"/>
        <item x="24"/>
        <item x="114"/>
        <item x="218"/>
        <item x="66"/>
        <item x="262"/>
        <item x="131"/>
        <item x="269"/>
        <item x="84"/>
        <item x="217"/>
        <item x="279"/>
        <item x="67"/>
        <item x="227"/>
        <item x="65"/>
        <item x="25"/>
        <item x="86"/>
        <item x="30"/>
        <item x="185"/>
        <item x="26"/>
        <item x="83"/>
        <item x="219"/>
        <item x="140"/>
        <item x="171"/>
        <item x="0"/>
        <item x="228"/>
        <item x="210"/>
        <item x="216"/>
        <item x="233"/>
        <item x="220"/>
        <item x="87"/>
        <item x="207"/>
        <item x="68"/>
        <item x="27"/>
        <item x="69"/>
        <item x="215"/>
        <item x="274"/>
        <item x="271"/>
        <item x="221"/>
        <item x="82"/>
        <item x="270"/>
        <item x="236"/>
        <item x="132"/>
        <item x="283"/>
        <item x="97"/>
        <item x="88"/>
        <item x="70"/>
        <item x="1"/>
        <item x="28"/>
        <item x="115"/>
        <item x="237"/>
        <item x="235"/>
        <item x="232"/>
        <item x="284"/>
        <item x="2"/>
        <item x="206"/>
        <item x="29"/>
        <item x="31"/>
        <item x="172"/>
        <item x="253"/>
        <item x="231"/>
        <item x="173"/>
        <item x="224"/>
        <item x="229"/>
        <item x="208"/>
        <item x="186"/>
        <item x="194"/>
        <item x="133"/>
        <item x="98"/>
        <item x="71"/>
        <item x="32"/>
        <item x="89"/>
        <item x="195"/>
        <item x="196"/>
        <item x="263"/>
        <item x="275"/>
        <item x="245"/>
        <item x="3"/>
        <item x="200"/>
        <item x="254"/>
        <item x="33"/>
        <item x="174"/>
        <item x="272"/>
        <item x="211"/>
        <item x="264"/>
        <item x="202"/>
        <item x="230"/>
        <item x="199"/>
        <item x="212"/>
        <item x="197"/>
        <item x="213"/>
        <item x="99"/>
        <item x="225"/>
        <item x="4"/>
        <item x="222"/>
        <item x="255"/>
        <item x="116"/>
        <item x="226"/>
        <item x="90"/>
        <item x="198"/>
        <item x="256"/>
        <item x="203"/>
        <item x="188"/>
        <item x="134"/>
        <item x="265"/>
        <item x="72"/>
        <item x="201"/>
        <item x="214"/>
        <item x="223"/>
        <item x="5"/>
        <item x="266"/>
        <item x="135"/>
        <item x="175"/>
        <item x="191"/>
        <item x="6"/>
        <item x="276"/>
        <item x="73"/>
        <item x="189"/>
        <item x="117"/>
        <item x="100"/>
        <item x="181"/>
        <item x="7"/>
        <item x="101"/>
        <item x="246"/>
        <item x="277"/>
        <item x="136"/>
        <item x="187"/>
        <item x="118"/>
        <item x="104"/>
        <item x="179"/>
        <item x="257"/>
        <item x="8"/>
        <item x="105"/>
        <item x="102"/>
        <item x="103"/>
        <item x="119"/>
        <item x="176"/>
        <item x="180"/>
        <item x="158"/>
        <item x="74"/>
        <item x="190"/>
        <item x="178"/>
        <item x="9"/>
        <item x="258"/>
        <item x="247"/>
        <item x="259"/>
        <item x="192"/>
        <item x="120"/>
        <item x="159"/>
        <item x="177"/>
        <item x="91"/>
        <item x="10"/>
        <item x="160"/>
        <item x="193"/>
        <item x="248"/>
        <item x="261"/>
        <item x="162"/>
        <item x="161"/>
        <item x="260"/>
        <item x="121"/>
        <item x="106"/>
        <item x="122"/>
        <item x="93"/>
        <item x="108"/>
        <item x="75"/>
        <item x="92"/>
        <item x="109"/>
        <item x="249"/>
        <item x="11"/>
        <item x="250"/>
        <item x="182"/>
        <item x="110"/>
        <item x="94"/>
        <item x="107"/>
        <item x="76"/>
        <item x="111"/>
        <item x="13"/>
        <item x="12"/>
        <item x="183"/>
        <item x="251"/>
        <item x="163"/>
        <item x="166"/>
        <item x="123"/>
        <item x="77"/>
        <item x="95"/>
        <item x="167"/>
        <item x="252"/>
        <item x="14"/>
        <item x="184"/>
        <item x="165"/>
        <item x="169"/>
        <item x="124"/>
        <item x="168"/>
        <item x="164"/>
        <item x="96"/>
        <item x="125"/>
        <item x="15"/>
        <item x="141"/>
        <item x="16"/>
        <item x="142"/>
        <item x="170"/>
        <item x="145"/>
        <item x="143"/>
        <item x="144"/>
        <item x="146"/>
        <item x="154"/>
        <item x="155"/>
        <item x="156"/>
        <item x="157"/>
        <item x="147"/>
        <item x="153"/>
        <item x="149"/>
        <item x="148"/>
        <item x="152"/>
        <item x="150"/>
        <item x="78"/>
        <item x="151"/>
        <item x="79"/>
        <item x="80"/>
        <item x="81"/>
        <item t="default"/>
      </items>
    </pivotField>
    <pivotField compact="0" showAll="0">
      <items count="340">
        <item x="338"/>
        <item x="320"/>
        <item x="321"/>
        <item x="322"/>
        <item x="323"/>
        <item x="324"/>
        <item x="325"/>
        <item x="80"/>
        <item x="81"/>
        <item x="82"/>
        <item x="83"/>
        <item x="332"/>
        <item x="84"/>
        <item x="285"/>
        <item x="85"/>
        <item x="312"/>
        <item x="286"/>
        <item x="287"/>
        <item x="86"/>
        <item x="288"/>
        <item x="319"/>
        <item x="294"/>
        <item x="157"/>
        <item x="87"/>
        <item x="156"/>
        <item x="155"/>
        <item x="289"/>
        <item x="336"/>
        <item x="126"/>
        <item x="313"/>
        <item x="295"/>
        <item x="290"/>
        <item x="154"/>
        <item x="88"/>
        <item x="142"/>
        <item x="309"/>
        <item x="235"/>
        <item x="127"/>
        <item x="100"/>
        <item x="236"/>
        <item x="143"/>
        <item x="89"/>
        <item x="128"/>
        <item x="99"/>
        <item x="158"/>
        <item x="291"/>
        <item x="101"/>
        <item x="326"/>
        <item x="98"/>
        <item x="90"/>
        <item x="292"/>
        <item x="97"/>
        <item x="129"/>
        <item x="102"/>
        <item x="314"/>
        <item x="159"/>
        <item x="96"/>
        <item x="144"/>
        <item x="95"/>
        <item x="318"/>
        <item x="145"/>
        <item x="103"/>
        <item x="327"/>
        <item x="264"/>
        <item x="244"/>
        <item x="238"/>
        <item x="130"/>
        <item x="237"/>
        <item x="160"/>
        <item x="63"/>
        <item x="146"/>
        <item x="328"/>
        <item x="255"/>
        <item x="245"/>
        <item x="293"/>
        <item x="147"/>
        <item x="256"/>
        <item x="265"/>
        <item x="64"/>
        <item x="66"/>
        <item x="65"/>
        <item x="266"/>
        <item x="257"/>
        <item x="161"/>
        <item x="267"/>
        <item x="268"/>
        <item x="296"/>
        <item x="67"/>
        <item x="254"/>
        <item x="258"/>
        <item x="253"/>
        <item x="303"/>
        <item x="68"/>
        <item x="104"/>
        <item x="252"/>
        <item x="316"/>
        <item x="259"/>
        <item x="281"/>
        <item x="315"/>
        <item x="148"/>
        <item x="239"/>
        <item x="279"/>
        <item x="111"/>
        <item x="280"/>
        <item x="333"/>
        <item x="131"/>
        <item x="269"/>
        <item x="337"/>
        <item x="241"/>
        <item x="329"/>
        <item x="317"/>
        <item x="270"/>
        <item x="246"/>
        <item x="69"/>
        <item x="273"/>
        <item x="91"/>
        <item x="297"/>
        <item x="262"/>
        <item x="247"/>
        <item x="260"/>
        <item x="242"/>
        <item x="151"/>
        <item x="70"/>
        <item x="272"/>
        <item x="248"/>
        <item x="271"/>
        <item x="17"/>
        <item x="310"/>
        <item x="283"/>
        <item x="240"/>
        <item x="149"/>
        <item x="298"/>
        <item x="304"/>
        <item x="71"/>
        <item x="278"/>
        <item x="311"/>
        <item x="228"/>
        <item x="282"/>
        <item x="243"/>
        <item x="112"/>
        <item x="263"/>
        <item x="227"/>
        <item x="261"/>
        <item x="274"/>
        <item x="34"/>
        <item x="132"/>
        <item x="72"/>
        <item x="35"/>
        <item x="18"/>
        <item x="284"/>
        <item x="152"/>
        <item x="277"/>
        <item x="232"/>
        <item x="229"/>
        <item x="73"/>
        <item x="249"/>
        <item x="36"/>
        <item x="105"/>
        <item x="330"/>
        <item x="299"/>
        <item x="231"/>
        <item x="276"/>
        <item x="153"/>
        <item x="300"/>
        <item x="19"/>
        <item x="50"/>
        <item x="150"/>
        <item x="49"/>
        <item x="230"/>
        <item x="37"/>
        <item x="234"/>
        <item x="52"/>
        <item x="233"/>
        <item x="334"/>
        <item x="133"/>
        <item x="113"/>
        <item x="51"/>
        <item x="38"/>
        <item x="53"/>
        <item x="114"/>
        <item x="107"/>
        <item x="54"/>
        <item x="250"/>
        <item x="134"/>
        <item x="43"/>
        <item x="118"/>
        <item x="275"/>
        <item x="305"/>
        <item x="39"/>
        <item x="106"/>
        <item x="55"/>
        <item x="331"/>
        <item x="301"/>
        <item x="119"/>
        <item x="20"/>
        <item x="56"/>
        <item x="116"/>
        <item x="335"/>
        <item x="40"/>
        <item x="117"/>
        <item x="74"/>
        <item x="135"/>
        <item x="21"/>
        <item x="41"/>
        <item x="108"/>
        <item x="92"/>
        <item x="251"/>
        <item x="302"/>
        <item x="42"/>
        <item x="57"/>
        <item x="115"/>
        <item x="306"/>
        <item x="136"/>
        <item x="22"/>
        <item x="44"/>
        <item x="76"/>
        <item x="211"/>
        <item x="60"/>
        <item x="46"/>
        <item x="75"/>
        <item x="308"/>
        <item x="47"/>
        <item x="307"/>
        <item x="109"/>
        <item x="48"/>
        <item x="137"/>
        <item x="120"/>
        <item x="138"/>
        <item x="58"/>
        <item x="212"/>
        <item x="45"/>
        <item x="122"/>
        <item x="62"/>
        <item x="61"/>
        <item x="77"/>
        <item x="195"/>
        <item x="93"/>
        <item x="23"/>
        <item x="123"/>
        <item x="110"/>
        <item x="196"/>
        <item x="213"/>
        <item x="59"/>
        <item x="124"/>
        <item x="121"/>
        <item x="125"/>
        <item x="78"/>
        <item x="197"/>
        <item x="24"/>
        <item x="94"/>
        <item x="198"/>
        <item x="214"/>
        <item x="223"/>
        <item x="199"/>
        <item x="79"/>
        <item x="139"/>
        <item x="25"/>
        <item x="215"/>
        <item x="30"/>
        <item x="26"/>
        <item x="0"/>
        <item x="200"/>
        <item x="140"/>
        <item x="27"/>
        <item x="141"/>
        <item x="220"/>
        <item x="216"/>
        <item x="1"/>
        <item x="28"/>
        <item x="2"/>
        <item x="201"/>
        <item x="224"/>
        <item x="29"/>
        <item x="31"/>
        <item x="221"/>
        <item x="207"/>
        <item x="219"/>
        <item x="32"/>
        <item x="217"/>
        <item x="205"/>
        <item x="3"/>
        <item x="33"/>
        <item x="202"/>
        <item x="218"/>
        <item x="206"/>
        <item x="4"/>
        <item x="179"/>
        <item x="162"/>
        <item x="222"/>
        <item x="204"/>
        <item x="163"/>
        <item x="180"/>
        <item x="225"/>
        <item x="181"/>
        <item x="5"/>
        <item x="203"/>
        <item x="166"/>
        <item x="164"/>
        <item x="165"/>
        <item x="226"/>
        <item x="6"/>
        <item x="167"/>
        <item x="175"/>
        <item x="176"/>
        <item x="183"/>
        <item x="182"/>
        <item x="177"/>
        <item x="7"/>
        <item x="178"/>
        <item x="168"/>
        <item x="8"/>
        <item x="174"/>
        <item x="170"/>
        <item x="169"/>
        <item x="191"/>
        <item x="173"/>
        <item x="208"/>
        <item x="184"/>
        <item x="171"/>
        <item x="9"/>
        <item x="172"/>
        <item x="10"/>
        <item x="209"/>
        <item x="185"/>
        <item x="188"/>
        <item x="189"/>
        <item x="210"/>
        <item x="187"/>
        <item x="192"/>
        <item x="190"/>
        <item x="186"/>
        <item x="11"/>
        <item x="193"/>
        <item x="13"/>
        <item x="194"/>
        <item x="12"/>
        <item x="14"/>
        <item x="15"/>
        <item x="16"/>
        <item t="default"/>
      </items>
    </pivotField>
    <pivotField axis="axisPage" compact="0" showAll="0">
      <items count="3">
        <item x="0"/>
        <item x="1"/>
        <item t="default"/>
      </items>
    </pivotField>
    <pivotField compact="0" showAll="0">
      <items count="492">
        <item x="478"/>
        <item x="467"/>
        <item x="472"/>
        <item x="466"/>
        <item x="68"/>
        <item x="16"/>
        <item x="17"/>
        <item x="474"/>
        <item x="67"/>
        <item x="66"/>
        <item x="469"/>
        <item x="71"/>
        <item x="20"/>
        <item x="36"/>
        <item x="34"/>
        <item x="18"/>
        <item x="465"/>
        <item x="55"/>
        <item x="56"/>
        <item x="45"/>
        <item x="47"/>
        <item x="22"/>
        <item x="470"/>
        <item x="60"/>
        <item x="51"/>
        <item x="44"/>
        <item x="70"/>
        <item x="475"/>
        <item x="72"/>
        <item x="2"/>
        <item x="0"/>
        <item x="37"/>
        <item x="21"/>
        <item x="54"/>
        <item x="31"/>
        <item x="58"/>
        <item x="25"/>
        <item x="4"/>
        <item x="5"/>
        <item x="28"/>
        <item x="32"/>
        <item x="9"/>
        <item x="43"/>
        <item x="12"/>
        <item x="13"/>
        <item x="61"/>
        <item x="23"/>
        <item x="14"/>
        <item x="15"/>
        <item x="10"/>
        <item x="7"/>
        <item x="11"/>
        <item x="26"/>
        <item x="3"/>
        <item x="59"/>
        <item x="50"/>
        <item x="29"/>
        <item x="8"/>
        <item x="46"/>
        <item x="40"/>
        <item x="30"/>
        <item x="6"/>
        <item x="24"/>
        <item x="27"/>
        <item x="35"/>
        <item x="62"/>
        <item x="41"/>
        <item x="1"/>
        <item x="74"/>
        <item x="73"/>
        <item x="76"/>
        <item x="39"/>
        <item x="48"/>
        <item x="42"/>
        <item x="75"/>
        <item x="69"/>
        <item x="38"/>
        <item x="19"/>
        <item x="57"/>
        <item x="64"/>
        <item x="52"/>
        <item x="53"/>
        <item x="33"/>
        <item x="49"/>
        <item x="65"/>
        <item x="477"/>
        <item x="476"/>
        <item x="63"/>
        <item x="471"/>
        <item x="473"/>
        <item x="468"/>
        <item x="458"/>
        <item x="459"/>
        <item x="457"/>
        <item x="452"/>
        <item x="451"/>
        <item x="461"/>
        <item x="453"/>
        <item x="456"/>
        <item x="213"/>
        <item x="455"/>
        <item x="216"/>
        <item x="202"/>
        <item x="217"/>
        <item x="200"/>
        <item x="220"/>
        <item x="208"/>
        <item x="198"/>
        <item x="227"/>
        <item x="188"/>
        <item x="219"/>
        <item x="205"/>
        <item x="190"/>
        <item x="209"/>
        <item x="187"/>
        <item x="218"/>
        <item x="196"/>
        <item x="183"/>
        <item x="211"/>
        <item x="193"/>
        <item x="195"/>
        <item x="210"/>
        <item x="185"/>
        <item x="184"/>
        <item x="192"/>
        <item x="224"/>
        <item x="194"/>
        <item x="191"/>
        <item x="223"/>
        <item x="197"/>
        <item x="203"/>
        <item x="182"/>
        <item x="189"/>
        <item x="228"/>
        <item x="204"/>
        <item x="186"/>
        <item x="207"/>
        <item x="206"/>
        <item x="201"/>
        <item x="221"/>
        <item x="199"/>
        <item x="226"/>
        <item x="222"/>
        <item x="225"/>
        <item x="212"/>
        <item x="215"/>
        <item x="214"/>
        <item x="463"/>
        <item x="464"/>
        <item x="454"/>
        <item x="462"/>
        <item x="460"/>
        <item x="450"/>
        <item x="382"/>
        <item x="443"/>
        <item x="326"/>
        <item x="403"/>
        <item x="327"/>
        <item x="319"/>
        <item x="406"/>
        <item x="408"/>
        <item x="255"/>
        <item x="150"/>
        <item x="409"/>
        <item x="328"/>
        <item x="383"/>
        <item x="394"/>
        <item x="284"/>
        <item x="241"/>
        <item x="120"/>
        <item x="285"/>
        <item x="445"/>
        <item x="316"/>
        <item x="306"/>
        <item x="395"/>
        <item x="334"/>
        <item x="256"/>
        <item x="140"/>
        <item x="393"/>
        <item x="332"/>
        <item x="325"/>
        <item x="141"/>
        <item x="303"/>
        <item x="305"/>
        <item x="286"/>
        <item x="388"/>
        <item x="387"/>
        <item x="444"/>
        <item x="356"/>
        <item x="287"/>
        <item x="151"/>
        <item x="247"/>
        <item x="260"/>
        <item x="268"/>
        <item x="257"/>
        <item x="375"/>
        <item x="308"/>
        <item x="153"/>
        <item x="333"/>
        <item x="312"/>
        <item x="447"/>
        <item x="232"/>
        <item x="400"/>
        <item x="292"/>
        <item x="249"/>
        <item x="230"/>
        <item x="250"/>
        <item x="446"/>
        <item x="371"/>
        <item x="278"/>
        <item x="402"/>
        <item x="283"/>
        <item x="142"/>
        <item x="148"/>
        <item x="389"/>
        <item x="267"/>
        <item x="396"/>
        <item x="127"/>
        <item x="362"/>
        <item x="103"/>
        <item x="358"/>
        <item x="359"/>
        <item x="295"/>
        <item x="266"/>
        <item x="448"/>
        <item x="309"/>
        <item x="159"/>
        <item x="323"/>
        <item x="157"/>
        <item x="110"/>
        <item x="234"/>
        <item x="322"/>
        <item x="147"/>
        <item x="162"/>
        <item x="378"/>
        <item x="107"/>
        <item x="265"/>
        <item x="242"/>
        <item x="280"/>
        <item x="252"/>
        <item x="449"/>
        <item x="298"/>
        <item x="366"/>
        <item x="264"/>
        <item x="113"/>
        <item x="253"/>
        <item x="121"/>
        <item x="294"/>
        <item x="229"/>
        <item x="311"/>
        <item x="105"/>
        <item x="279"/>
        <item x="126"/>
        <item x="125"/>
        <item x="129"/>
        <item x="133"/>
        <item x="364"/>
        <item x="235"/>
        <item x="297"/>
        <item x="271"/>
        <item x="270"/>
        <item x="116"/>
        <item x="300"/>
        <item x="296"/>
        <item x="114"/>
        <item x="131"/>
        <item x="104"/>
        <item x="236"/>
        <item x="281"/>
        <item x="118"/>
        <item x="132"/>
        <item x="112"/>
        <item x="117"/>
        <item x="277"/>
        <item x="261"/>
        <item x="324"/>
        <item x="149"/>
        <item x="304"/>
        <item x="398"/>
        <item x="374"/>
        <item x="115"/>
        <item x="144"/>
        <item x="269"/>
        <item x="111"/>
        <item x="367"/>
        <item x="357"/>
        <item x="379"/>
        <item x="128"/>
        <item x="361"/>
        <item x="390"/>
        <item x="365"/>
        <item x="106"/>
        <item x="391"/>
        <item x="146"/>
        <item x="139"/>
        <item x="336"/>
        <item x="248"/>
        <item x="130"/>
        <item x="376"/>
        <item x="109"/>
        <item x="399"/>
        <item x="108"/>
        <item x="156"/>
        <item x="363"/>
        <item x="239"/>
        <item x="124"/>
        <item x="355"/>
        <item x="263"/>
        <item x="313"/>
        <item x="377"/>
        <item x="262"/>
        <item x="102"/>
        <item x="143"/>
        <item x="360"/>
        <item x="138"/>
        <item x="237"/>
        <item x="238"/>
        <item x="290"/>
        <item x="293"/>
        <item x="302"/>
        <item x="307"/>
        <item x="380"/>
        <item x="145"/>
        <item x="291"/>
        <item x="310"/>
        <item x="163"/>
        <item x="245"/>
        <item x="354"/>
        <item x="273"/>
        <item x="276"/>
        <item x="401"/>
        <item x="246"/>
        <item x="231"/>
        <item x="299"/>
        <item x="353"/>
        <item x="335"/>
        <item x="233"/>
        <item x="254"/>
        <item x="243"/>
        <item x="251"/>
        <item x="372"/>
        <item x="301"/>
        <item x="272"/>
        <item x="119"/>
        <item x="289"/>
        <item x="164"/>
        <item x="317"/>
        <item x="259"/>
        <item x="275"/>
        <item x="329"/>
        <item x="397"/>
        <item x="288"/>
        <item x="373"/>
        <item x="137"/>
        <item x="321"/>
        <item x="274"/>
        <item x="282"/>
        <item x="385"/>
        <item x="135"/>
        <item x="152"/>
        <item x="368"/>
        <item x="392"/>
        <item x="136"/>
        <item x="122"/>
        <item x="381"/>
        <item x="123"/>
        <item x="369"/>
        <item x="160"/>
        <item x="134"/>
        <item x="314"/>
        <item x="161"/>
        <item x="410"/>
        <item x="258"/>
        <item x="154"/>
        <item x="386"/>
        <item x="331"/>
        <item x="244"/>
        <item x="320"/>
        <item x="384"/>
        <item x="330"/>
        <item x="155"/>
        <item x="405"/>
        <item x="370"/>
        <item x="407"/>
        <item x="318"/>
        <item x="240"/>
        <item x="158"/>
        <item x="315"/>
        <item x="404"/>
        <item x="442"/>
        <item x="339"/>
        <item x="337"/>
        <item x="341"/>
        <item x="343"/>
        <item x="344"/>
        <item x="346"/>
        <item x="340"/>
        <item x="348"/>
        <item x="345"/>
        <item x="338"/>
        <item x="350"/>
        <item x="349"/>
        <item x="351"/>
        <item x="352"/>
        <item x="347"/>
        <item x="342"/>
        <item x="92"/>
        <item x="93"/>
        <item x="90"/>
        <item x="88"/>
        <item x="95"/>
        <item x="99"/>
        <item x="100"/>
        <item x="98"/>
        <item x="169"/>
        <item x="179"/>
        <item x="171"/>
        <item x="166"/>
        <item x="167"/>
        <item x="170"/>
        <item x="178"/>
        <item x="177"/>
        <item x="173"/>
        <item x="174"/>
        <item x="175"/>
        <item x="89"/>
        <item x="181"/>
        <item x="180"/>
        <item x="176"/>
        <item x="172"/>
        <item x="168"/>
        <item x="165"/>
        <item x="101"/>
        <item x="96"/>
        <item x="94"/>
        <item x="91"/>
        <item x="97"/>
        <item x="80"/>
        <item x="82"/>
        <item x="86"/>
        <item x="81"/>
        <item x="87"/>
        <item x="85"/>
        <item x="84"/>
        <item x="83"/>
        <item x="79"/>
        <item x="78"/>
        <item x="77"/>
        <item x="427"/>
        <item x="432"/>
        <item x="412"/>
        <item x="414"/>
        <item x="439"/>
        <item x="420"/>
        <item x="437"/>
        <item x="425"/>
        <item x="435"/>
        <item x="441"/>
        <item x="419"/>
        <item x="415"/>
        <item x="438"/>
        <item x="418"/>
        <item x="424"/>
        <item x="423"/>
        <item x="413"/>
        <item x="426"/>
        <item x="429"/>
        <item x="433"/>
        <item x="421"/>
        <item x="417"/>
        <item x="422"/>
        <item x="411"/>
        <item x="440"/>
        <item x="436"/>
        <item x="416"/>
        <item x="430"/>
        <item x="428"/>
        <item x="434"/>
        <item x="431"/>
        <item x="483"/>
        <item x="482"/>
        <item x="490"/>
        <item x="487"/>
        <item x="485"/>
        <item x="488"/>
        <item x="479"/>
        <item x="481"/>
        <item x="480"/>
        <item x="484"/>
        <item x="486"/>
        <item x="489"/>
        <item t="default"/>
      </items>
    </pivotField>
    <pivotField compact="0" showAll="0">
      <items count="524">
        <item x="513"/>
        <item x="520"/>
        <item x="439"/>
        <item x="459"/>
        <item x="517"/>
        <item x="516"/>
        <item x="464"/>
        <item x="458"/>
        <item x="522"/>
        <item x="448"/>
        <item x="444"/>
        <item x="468"/>
        <item x="450"/>
        <item x="457"/>
        <item x="463"/>
        <item x="466"/>
        <item x="455"/>
        <item x="447"/>
        <item x="443"/>
        <item x="467"/>
        <item x="469"/>
        <item x="442"/>
        <item x="453"/>
        <item x="518"/>
        <item x="454"/>
        <item x="462"/>
        <item x="451"/>
        <item x="470"/>
        <item x="452"/>
        <item x="456"/>
        <item x="449"/>
        <item x="446"/>
        <item x="461"/>
        <item x="519"/>
        <item x="441"/>
        <item x="460"/>
        <item x="465"/>
        <item x="445"/>
        <item x="515"/>
        <item x="440"/>
        <item x="514"/>
        <item x="521"/>
        <item x="80"/>
        <item x="83"/>
        <item x="85"/>
        <item x="82"/>
        <item x="87"/>
        <item x="88"/>
        <item x="89"/>
        <item x="90"/>
        <item x="91"/>
        <item x="93"/>
        <item x="94"/>
        <item x="92"/>
        <item x="84"/>
        <item x="81"/>
        <item x="79"/>
        <item x="86"/>
        <item x="360"/>
        <item x="362"/>
        <item x="364"/>
        <item x="368"/>
        <item x="359"/>
        <item x="366"/>
        <item x="372"/>
        <item x="370"/>
        <item x="369"/>
        <item x="371"/>
        <item x="365"/>
        <item x="363"/>
        <item x="367"/>
        <item x="356"/>
        <item x="361"/>
        <item x="357"/>
        <item x="358"/>
        <item x="401"/>
        <item x="403"/>
        <item x="336"/>
        <item x="158"/>
        <item x="404"/>
        <item x="431"/>
        <item x="345"/>
        <item x="435"/>
        <item x="406"/>
        <item x="408"/>
        <item x="163"/>
        <item x="159"/>
        <item x="335"/>
        <item x="128"/>
        <item x="393"/>
        <item x="389"/>
        <item x="156"/>
        <item x="162"/>
        <item x="98"/>
        <item x="339"/>
        <item x="437"/>
        <item x="436"/>
        <item x="102"/>
        <item x="167"/>
        <item x="410"/>
        <item x="338"/>
        <item x="472"/>
        <item x="419"/>
        <item x="334"/>
        <item x="475"/>
        <item x="131"/>
        <item x="438"/>
        <item x="129"/>
        <item x="434"/>
        <item x="341"/>
        <item x="291"/>
        <item x="414"/>
        <item x="157"/>
        <item x="113"/>
        <item x="297"/>
        <item x="421"/>
        <item x="105"/>
        <item x="112"/>
        <item x="428"/>
        <item x="479"/>
        <item x="149"/>
        <item x="379"/>
        <item x="390"/>
        <item x="380"/>
        <item x="426"/>
        <item x="294"/>
        <item x="169"/>
        <item x="376"/>
        <item x="411"/>
        <item x="375"/>
        <item x="427"/>
        <item x="101"/>
        <item x="108"/>
        <item x="423"/>
        <item x="154"/>
        <item x="298"/>
        <item x="350"/>
        <item x="137"/>
        <item x="382"/>
        <item x="424"/>
        <item x="95"/>
        <item x="296"/>
        <item x="145"/>
        <item x="476"/>
        <item x="151"/>
        <item x="340"/>
        <item x="119"/>
        <item x="430"/>
        <item x="152"/>
        <item x="377"/>
        <item x="153"/>
        <item x="285"/>
        <item x="135"/>
        <item x="107"/>
        <item x="383"/>
        <item x="422"/>
        <item x="480"/>
        <item x="118"/>
        <item x="139"/>
        <item x="384"/>
        <item x="295"/>
        <item x="106"/>
        <item x="120"/>
        <item x="385"/>
        <item x="387"/>
        <item x="386"/>
        <item x="121"/>
        <item x="123"/>
        <item x="122"/>
        <item x="99"/>
        <item x="126"/>
        <item x="140"/>
        <item x="110"/>
        <item x="124"/>
        <item x="397"/>
        <item x="125"/>
        <item x="425"/>
        <item x="116"/>
        <item x="136"/>
        <item x="133"/>
        <item x="109"/>
        <item x="115"/>
        <item x="292"/>
        <item x="114"/>
        <item x="373"/>
        <item x="400"/>
        <item x="355"/>
        <item x="138"/>
        <item x="104"/>
        <item x="117"/>
        <item x="429"/>
        <item x="132"/>
        <item x="144"/>
        <item x="418"/>
        <item x="399"/>
        <item x="381"/>
        <item x="293"/>
        <item x="142"/>
        <item x="150"/>
        <item x="164"/>
        <item x="415"/>
        <item x="392"/>
        <item x="378"/>
        <item x="134"/>
        <item x="290"/>
        <item x="395"/>
        <item x="416"/>
        <item x="412"/>
        <item x="284"/>
        <item x="148"/>
        <item x="396"/>
        <item x="346"/>
        <item x="417"/>
        <item x="286"/>
        <item x="127"/>
        <item x="398"/>
        <item x="165"/>
        <item x="473"/>
        <item x="287"/>
        <item x="166"/>
        <item x="394"/>
        <item x="147"/>
        <item x="413"/>
        <item x="146"/>
        <item x="409"/>
        <item x="374"/>
        <item x="353"/>
        <item x="111"/>
        <item x="352"/>
        <item x="354"/>
        <item x="288"/>
        <item x="477"/>
        <item x="130"/>
        <item x="351"/>
        <item x="289"/>
        <item x="343"/>
        <item x="478"/>
        <item x="103"/>
        <item x="331"/>
        <item x="168"/>
        <item x="342"/>
        <item x="143"/>
        <item x="97"/>
        <item x="420"/>
        <item x="161"/>
        <item x="348"/>
        <item x="96"/>
        <item x="349"/>
        <item x="391"/>
        <item x="347"/>
        <item x="402"/>
        <item x="100"/>
        <item x="405"/>
        <item x="141"/>
        <item x="388"/>
        <item x="155"/>
        <item x="337"/>
        <item x="344"/>
        <item x="407"/>
        <item x="474"/>
        <item x="433"/>
        <item x="160"/>
        <item x="432"/>
        <item x="333"/>
        <item x="332"/>
        <item x="471"/>
        <item x="252"/>
        <item x="259"/>
        <item x="239"/>
        <item x="262"/>
        <item x="237"/>
        <item x="263"/>
        <item x="243"/>
        <item x="245"/>
        <item x="261"/>
        <item x="253"/>
        <item x="265"/>
        <item x="266"/>
        <item x="235"/>
        <item x="236"/>
        <item x="242"/>
        <item x="244"/>
        <item x="241"/>
        <item x="246"/>
        <item x="255"/>
        <item x="260"/>
        <item x="250"/>
        <item x="249"/>
        <item x="247"/>
        <item x="248"/>
        <item x="257"/>
        <item x="258"/>
        <item x="238"/>
        <item x="240"/>
        <item x="254"/>
        <item x="264"/>
        <item x="256"/>
        <item x="251"/>
        <item x="267"/>
        <item x="302"/>
        <item x="300"/>
        <item x="270"/>
        <item x="322"/>
        <item x="276"/>
        <item x="273"/>
        <item x="274"/>
        <item x="324"/>
        <item x="299"/>
        <item x="306"/>
        <item x="325"/>
        <item x="316"/>
        <item x="319"/>
        <item x="307"/>
        <item x="317"/>
        <item x="275"/>
        <item x="314"/>
        <item x="312"/>
        <item x="330"/>
        <item x="282"/>
        <item x="268"/>
        <item x="279"/>
        <item x="304"/>
        <item x="281"/>
        <item x="315"/>
        <item x="280"/>
        <item x="328"/>
        <item x="320"/>
        <item x="305"/>
        <item x="277"/>
        <item x="318"/>
        <item x="321"/>
        <item x="310"/>
        <item x="326"/>
        <item x="323"/>
        <item x="283"/>
        <item x="313"/>
        <item x="303"/>
        <item x="309"/>
        <item x="329"/>
        <item x="278"/>
        <item x="311"/>
        <item x="308"/>
        <item x="327"/>
        <item x="271"/>
        <item x="272"/>
        <item x="269"/>
        <item x="301"/>
        <item x="171"/>
        <item x="178"/>
        <item x="177"/>
        <item x="170"/>
        <item x="181"/>
        <item x="180"/>
        <item x="179"/>
        <item x="182"/>
        <item x="176"/>
        <item x="185"/>
        <item x="183"/>
        <item x="175"/>
        <item x="174"/>
        <item x="184"/>
        <item x="173"/>
        <item x="172"/>
        <item x="482"/>
        <item x="485"/>
        <item x="496"/>
        <item x="497"/>
        <item x="498"/>
        <item x="489"/>
        <item x="486"/>
        <item x="490"/>
        <item x="221"/>
        <item x="494"/>
        <item x="484"/>
        <item x="220"/>
        <item x="219"/>
        <item x="222"/>
        <item x="207"/>
        <item x="204"/>
        <item x="215"/>
        <item x="206"/>
        <item x="224"/>
        <item x="233"/>
        <item x="205"/>
        <item x="208"/>
        <item x="225"/>
        <item x="210"/>
        <item x="195"/>
        <item x="199"/>
        <item x="191"/>
        <item x="228"/>
        <item x="201"/>
        <item x="230"/>
        <item x="188"/>
        <item x="189"/>
        <item x="227"/>
        <item x="194"/>
        <item x="223"/>
        <item x="211"/>
        <item x="190"/>
        <item x="202"/>
        <item x="234"/>
        <item x="213"/>
        <item x="192"/>
        <item x="218"/>
        <item x="196"/>
        <item x="231"/>
        <item x="226"/>
        <item x="193"/>
        <item x="187"/>
        <item x="200"/>
        <item x="217"/>
        <item x="186"/>
        <item x="198"/>
        <item x="197"/>
        <item x="216"/>
        <item x="209"/>
        <item x="487"/>
        <item x="229"/>
        <item x="212"/>
        <item x="214"/>
        <item x="232"/>
        <item x="488"/>
        <item x="499"/>
        <item x="203"/>
        <item x="492"/>
        <item x="495"/>
        <item x="493"/>
        <item x="483"/>
        <item x="491"/>
        <item x="481"/>
        <item x="503"/>
        <item x="506"/>
        <item x="500"/>
        <item x="502"/>
        <item x="507"/>
        <item x="505"/>
        <item x="65"/>
        <item x="70"/>
        <item x="68"/>
        <item x="511"/>
        <item x="36"/>
        <item x="73"/>
        <item x="51"/>
        <item x="53"/>
        <item x="74"/>
        <item x="76"/>
        <item x="56"/>
        <item x="509"/>
        <item x="44"/>
        <item x="41"/>
        <item x="47"/>
        <item x="40"/>
        <item x="78"/>
        <item x="60"/>
        <item x="29"/>
        <item x="32"/>
        <item x="42"/>
        <item x="30"/>
        <item x="18"/>
        <item x="19"/>
        <item x="2"/>
        <item x="39"/>
        <item x="24"/>
        <item x="57"/>
        <item x="3"/>
        <item x="21"/>
        <item x="26"/>
        <item x="75"/>
        <item x="59"/>
        <item x="10"/>
        <item x="27"/>
        <item x="8"/>
        <item x="31"/>
        <item x="16"/>
        <item x="14"/>
        <item x="45"/>
        <item x="9"/>
        <item x="15"/>
        <item x="13"/>
        <item x="7"/>
        <item x="5"/>
        <item x="12"/>
        <item x="11"/>
        <item x="4"/>
        <item x="0"/>
        <item x="54"/>
        <item x="49"/>
        <item x="6"/>
        <item x="33"/>
        <item x="28"/>
        <item x="63"/>
        <item x="510"/>
        <item x="52"/>
        <item x="37"/>
        <item x="48"/>
        <item x="23"/>
        <item x="62"/>
        <item x="58"/>
        <item x="1"/>
        <item x="77"/>
        <item x="25"/>
        <item x="38"/>
        <item x="72"/>
        <item x="50"/>
        <item x="64"/>
        <item x="43"/>
        <item x="61"/>
        <item x="35"/>
        <item x="22"/>
        <item x="46"/>
        <item x="17"/>
        <item x="20"/>
        <item x="67"/>
        <item x="34"/>
        <item x="55"/>
        <item x="69"/>
        <item x="66"/>
        <item x="501"/>
        <item x="71"/>
        <item x="512"/>
        <item x="508"/>
        <item x="504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pageFields count="2">
    <pageField fld="10" hier="0"/>
    <pageField fld="0" hier="0"/>
  </pageFields>
  <dataFields count="1">
    <dataField name="Average of Operating_margin_pct" fld="6" subtotal="average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10">
  <location ref="A95:G110" firstHeaderRow="1" firstDataRow="2" firstDataCol="1"/>
  <pivotFields count="7">
    <pivotField compact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compact="0" showAll="0">
      <items count="6">
        <item x="0"/>
        <item x="2"/>
        <item x="1"/>
        <item x="4"/>
        <item x="3"/>
        <item t="default"/>
      </items>
    </pivotField>
    <pivotField compact="0" showAll="0"/>
    <pivotField compact="0" showAll="0"/>
    <pivotField dataField="1" compact="0" numFmtId="2" showAll="0">
      <items count="326">
        <item x="95"/>
        <item x="94"/>
        <item x="91"/>
        <item x="96"/>
        <item x="93"/>
        <item x="92"/>
        <item x="89"/>
        <item x="97"/>
        <item x="98"/>
        <item x="90"/>
        <item x="116"/>
        <item x="112"/>
        <item x="113"/>
        <item x="114"/>
        <item x="107"/>
        <item x="110"/>
        <item x="99"/>
        <item x="111"/>
        <item x="103"/>
        <item x="115"/>
        <item x="138"/>
        <item x="101"/>
        <item x="109"/>
        <item x="106"/>
        <item x="88"/>
        <item x="102"/>
        <item x="100"/>
        <item x="119"/>
        <item x="108"/>
        <item x="104"/>
        <item x="105"/>
        <item x="120"/>
        <item x="137"/>
        <item x="118"/>
        <item x="139"/>
        <item x="122"/>
        <item x="117"/>
        <item x="121"/>
        <item x="140"/>
        <item x="87"/>
        <item x="135"/>
        <item x="136"/>
        <item x="134"/>
        <item x="129"/>
        <item x="131"/>
        <item x="132"/>
        <item x="133"/>
        <item x="22"/>
        <item x="24"/>
        <item x="86"/>
        <item x="141"/>
        <item x="23"/>
        <item x="130"/>
        <item x="70"/>
        <item x="142"/>
        <item x="25"/>
        <item x="143"/>
        <item x="128"/>
        <item x="19"/>
        <item x="64"/>
        <item x="126"/>
        <item x="26"/>
        <item x="69"/>
        <item x="21"/>
        <item x="20"/>
        <item x="144"/>
        <item x="18"/>
        <item x="17"/>
        <item x="85"/>
        <item x="127"/>
        <item x="16"/>
        <item x="28"/>
        <item x="84"/>
        <item x="65"/>
        <item x="66"/>
        <item x="124"/>
        <item x="15"/>
        <item x="145"/>
        <item x="203"/>
        <item x="71"/>
        <item x="67"/>
        <item x="123"/>
        <item x="83"/>
        <item x="13"/>
        <item x="14"/>
        <item x="27"/>
        <item x="68"/>
        <item x="146"/>
        <item x="12"/>
        <item x="125"/>
        <item x="200"/>
        <item x="29"/>
        <item x="147"/>
        <item x="78"/>
        <item x="202"/>
        <item x="80"/>
        <item x="9"/>
        <item x="30"/>
        <item x="72"/>
        <item x="11"/>
        <item x="148"/>
        <item x="7"/>
        <item x="74"/>
        <item x="8"/>
        <item x="10"/>
        <item x="201"/>
        <item x="77"/>
        <item x="81"/>
        <item x="198"/>
        <item x="199"/>
        <item x="31"/>
        <item x="82"/>
        <item x="208"/>
        <item x="170"/>
        <item x="197"/>
        <item x="172"/>
        <item x="214"/>
        <item x="32"/>
        <item x="6"/>
        <item x="73"/>
        <item x="211"/>
        <item x="79"/>
        <item x="149"/>
        <item x="5"/>
        <item x="215"/>
        <item x="3"/>
        <item x="174"/>
        <item x="173"/>
        <item x="63"/>
        <item x="62"/>
        <item x="4"/>
        <item x="204"/>
        <item x="171"/>
        <item x="168"/>
        <item x="76"/>
        <item x="205"/>
        <item x="196"/>
        <item x="176"/>
        <item x="210"/>
        <item x="207"/>
        <item x="166"/>
        <item x="151"/>
        <item x="212"/>
        <item x="213"/>
        <item x="61"/>
        <item x="179"/>
        <item x="194"/>
        <item x="165"/>
        <item x="75"/>
        <item x="167"/>
        <item x="33"/>
        <item x="34"/>
        <item x="209"/>
        <item x="206"/>
        <item x="175"/>
        <item x="150"/>
        <item x="0"/>
        <item x="169"/>
        <item x="2"/>
        <item x="178"/>
        <item x="195"/>
        <item x="35"/>
        <item x="1"/>
        <item x="152"/>
        <item x="183"/>
        <item x="153"/>
        <item x="193"/>
        <item x="187"/>
        <item x="181"/>
        <item x="60"/>
        <item x="182"/>
        <item x="180"/>
        <item x="192"/>
        <item x="177"/>
        <item x="163"/>
        <item x="186"/>
        <item x="190"/>
        <item x="154"/>
        <item x="188"/>
        <item x="164"/>
        <item x="185"/>
        <item x="155"/>
        <item x="191"/>
        <item x="189"/>
        <item x="59"/>
        <item x="161"/>
        <item x="184"/>
        <item x="162"/>
        <item x="160"/>
        <item x="37"/>
        <item x="158"/>
        <item x="36"/>
        <item x="157"/>
        <item x="156"/>
        <item x="159"/>
        <item x="38"/>
        <item x="39"/>
        <item x="58"/>
        <item x="40"/>
        <item x="57"/>
        <item x="56"/>
        <item x="41"/>
        <item x="42"/>
        <item x="55"/>
        <item x="43"/>
        <item x="51"/>
        <item x="44"/>
        <item x="54"/>
        <item x="45"/>
        <item x="52"/>
        <item x="48"/>
        <item x="46"/>
        <item x="53"/>
        <item x="49"/>
        <item x="47"/>
        <item x="50"/>
        <item x="216"/>
        <item x="217"/>
        <item x="218"/>
        <item x="220"/>
        <item x="219"/>
        <item x="221"/>
        <item x="223"/>
        <item x="222"/>
        <item x="224"/>
        <item x="225"/>
        <item x="228"/>
        <item x="226"/>
        <item x="227"/>
        <item x="229"/>
        <item x="232"/>
        <item x="230"/>
        <item x="231"/>
        <item x="234"/>
        <item x="233"/>
        <item x="235"/>
        <item x="236"/>
        <item x="237"/>
        <item x="238"/>
        <item x="239"/>
        <item x="240"/>
        <item x="241"/>
        <item x="242"/>
        <item x="244"/>
        <item x="243"/>
        <item x="245"/>
        <item x="246"/>
        <item x="248"/>
        <item x="247"/>
        <item x="252"/>
        <item x="249"/>
        <item x="257"/>
        <item x="255"/>
        <item x="259"/>
        <item x="250"/>
        <item x="261"/>
        <item x="253"/>
        <item x="251"/>
        <item x="256"/>
        <item x="258"/>
        <item x="254"/>
        <item x="266"/>
        <item x="260"/>
        <item x="264"/>
        <item x="265"/>
        <item x="262"/>
        <item x="263"/>
        <item x="267"/>
        <item x="305"/>
        <item x="303"/>
        <item x="304"/>
        <item x="300"/>
        <item x="302"/>
        <item x="298"/>
        <item x="299"/>
        <item x="301"/>
        <item x="295"/>
        <item x="297"/>
        <item x="288"/>
        <item x="293"/>
        <item x="286"/>
        <item x="292"/>
        <item x="296"/>
        <item x="294"/>
        <item x="291"/>
        <item x="283"/>
        <item x="289"/>
        <item x="284"/>
        <item x="285"/>
        <item x="290"/>
        <item x="281"/>
        <item x="282"/>
        <item x="287"/>
        <item x="278"/>
        <item x="280"/>
        <item x="324"/>
        <item x="321"/>
        <item x="323"/>
        <item x="279"/>
        <item x="320"/>
        <item x="318"/>
        <item x="319"/>
        <item x="316"/>
        <item x="276"/>
        <item x="277"/>
        <item x="269"/>
        <item x="272"/>
        <item x="273"/>
        <item x="317"/>
        <item x="322"/>
        <item x="315"/>
        <item x="275"/>
        <item x="268"/>
        <item x="271"/>
        <item x="313"/>
        <item x="274"/>
        <item x="270"/>
        <item x="312"/>
        <item x="310"/>
        <item x="314"/>
        <item x="311"/>
        <item x="307"/>
        <item x="309"/>
        <item x="308"/>
        <item x="306"/>
        <item t="default"/>
      </items>
    </pivotField>
    <pivotField compact="0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ice" fld="5" subtotal="average" baseField="0" baseItem="0"/>
  </dataFields>
  <chartFormats count="5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7" name="PivotTable1"/>
  </pivotTables>
  <data>
    <tabular pivotCacheId="1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mpany_name" sourceName="Company_name">
  <pivotTables>
    <pivotTable tabId="7" name="PivotTable2"/>
    <pivotTable tabId="7" name="PivotTable3"/>
  </pivotTables>
  <data>
    <tabular pivotCacheId="2">
      <items count="40">
        <i x="6" s="1"/>
        <i x="16" s="1"/>
        <i x="24" s="1"/>
        <i x="23" s="1"/>
        <i x="8" s="1"/>
        <i x="30" s="1"/>
        <i x="35" s="1"/>
        <i x="33" s="1"/>
        <i x="2" s="1"/>
        <i x="36" s="1"/>
        <i x="37" s="1"/>
        <i x="31" s="1"/>
        <i x="34" s="1"/>
        <i x="17" s="1"/>
        <i x="11" s="1"/>
        <i x="26" s="1"/>
        <i x="25" s="1"/>
        <i x="10" s="1"/>
        <i x="9" s="1"/>
        <i x="21" s="1"/>
        <i x="14" s="1"/>
        <i x="5" s="1"/>
        <i x="19" s="1"/>
        <i x="22" s="1"/>
        <i x="7" s="1"/>
        <i x="20" s="1"/>
        <i x="38" s="1"/>
        <i x="1" s="1"/>
        <i x="12" s="1"/>
        <i x="28" s="1"/>
        <i x="13" s="1"/>
        <i x="4" s="1"/>
        <i x="18" s="1"/>
        <i x="29" s="1"/>
        <i x="39" s="1"/>
        <i x="15" s="1"/>
        <i x="27" s="1"/>
        <i x="0" s="1"/>
        <i x="3" s="1"/>
        <i x="3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dmin_Era" sourceName="Admin_Era">
  <pivotTables>
    <pivotTable tabId="7" name="PivotTable6"/>
  </pivotTables>
  <data>
    <tabular pivotCacheId="4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Node_Category" sourceName="Node_Category">
  <pivotTables>
    <pivotTable tabId="7" name="PivotTable5"/>
  </pivotTables>
  <data>
    <tabular pivotCacheId="3">
      <items count="4">
        <i x="1" s="1"/>
        <i x="0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columnCount="2" style="SlicerStyleLight5" rowHeight="225425"/>
  <slicer name="Company_name" cache="Slicer_Company_name" caption="Company_name" columnCount="2" style="SlicerStyleLight5" rowHeight="225425"/>
  <slicer name="Admin_Era" cache="Slicer_Admin_Era" caption="Admin_Era" style="SlicerStyleLight5" rowHeight="225425"/>
  <slicer name="Node_Category" cache="Slicer_Node_Category" caption="Node_Category" style="SlicerStyleLight5" rowHeight="225425"/>
</slicers>
</file>

<file path=xl/tables/table1.xml><?xml version="1.0" encoding="utf-8"?>
<table xmlns="http://schemas.openxmlformats.org/spreadsheetml/2006/main" id="2" name="Table2" displayName="Table2" ref="A1:M121" totalsRowShown="0">
  <autoFilter ref="A1:M121"/>
  <tableColumns count="13">
    <tableColumn id="1" name="Year" dataDxfId="59"/>
    <tableColumn id="2" name="Chip_Name" dataDxfId="58"/>
    <tableColumn id="3" name="Vendor" dataDxfId="57"/>
    <tableColumn id="4" name="Launch_Date" dataDxfId="56"/>
    <tableColumn id="5" name="Memory_gb" dataDxfId="55"/>
    <tableColumn id="6" name="fp16_tflops" dataDxfId="54"/>
    <tableColumn id="7" name="tdp_watts" dataDxfId="53"/>
    <tableColumn id="8" name="Estimated_shipments_units" dataDxfId="52"/>
    <tableColumn id="9" name="Estimated_asp_usd" dataDxfId="51"/>
    <tableColumn id="10" name="Estimated_revenue_usd_m" dataDxfId="50"/>
    <tableColumn id="11" name="description" dataDxfId="49"/>
    <tableColumn id="12" name="Revenue Category" dataDxfId="48">
      <calculatedColumnFormula>IF(J2&gt;500,"High",IF(J2&gt;100,"Medium","Low"))</calculatedColumnFormula>
    </tableColumn>
    <tableColumn id="13" name="Perf_Per_Watt" dataDxfId="47">
      <calculatedColumnFormula>F2/G2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N618" totalsRowShown="0">
  <autoFilter ref="A1:N618"/>
  <tableColumns count="14">
    <tableColumn id="1" name="Year" dataDxfId="46"/>
    <tableColumn id="2" name="Company_name" dataDxfId="45"/>
    <tableColumn id="3" name="Ticker" dataDxfId="44"/>
    <tableColumn id="4" name="Country_iso3" dataDxfId="43"/>
    <tableColumn id="5" name="Segment" dataDxfId="42"/>
    <tableColumn id="6" name="Revenue_usd_bn" dataDxfId="41"/>
    <tableColumn id="7" name="Operating_margin_pct" dataDxfId="40"/>
    <tableColumn id="8" name="Operating_income_usd_bn" dataDxfId="39"/>
    <tableColumn id="9" name="Rd_spend_usd_bn" dataDxfId="38"/>
    <tableColumn id="10" name="Capex_usd_bn" dataDxfId="37"/>
    <tableColumn id="11" name="Data_Type" dataDxfId="36">
      <calculatedColumnFormula>IF(A2&gt;=2025,"Forecast","Actual")</calculatedColumnFormula>
    </tableColumn>
    <tableColumn id="12" name="RD_Intensity_pct" dataDxfId="35">
      <calculatedColumnFormula>IF(F2=0,0,I2/F2*100)</calculatedColumnFormula>
    </tableColumn>
    <tableColumn id="13" name="Capex_Intensity_pct" dataDxfId="34">
      <calculatedColumnFormula>IF(F2=0,0,J2/F2*100)</calculatedColumnFormula>
    </tableColumn>
    <tableColumn id="14" name="Company_Type" dataDxfId="33">
      <calculatedColumnFormula>IF(LEFT(E2,7)="fabless","Fabless",IF(LEFT(E2,9)="equipment","Equipment",IF(E2="foundry","Manufacturer",IF(LEFT(E2,3)="idm","Manufacturer",IF(E2="eda_software","EDA Software","Other")))))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406" totalsRowShown="0">
  <autoFilter ref="A1:G406"/>
  <tableColumns count="7">
    <tableColumn id="1" name="Year_month" dataDxfId="32"/>
    <tableColumn id="2" name="Year" dataDxfId="31"/>
    <tableColumn id="3" name="Product" dataDxfId="30"/>
    <tableColumn id="4" name="Currency" dataDxfId="29"/>
    <tableColumn id="5" name="Unit" dataDxfId="28"/>
    <tableColumn id="6" name="Price" dataDxfId="27"/>
    <tableColumn id="7" name="Product_Category" dataDxfId="26">
      <calculatedColumnFormula>IF(LEFT(C2,4)="DRAM","Memory - DRAM",IF(LEFT(C2,4)="NAND","Memory - NAND",IF(LEFT(C2,3)="HBM","Memory - HBM","GPU")))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35" totalsRowShown="0">
  <autoFilter ref="A1:Q35"/>
  <tableColumns count="17">
    <tableColumn id="1" name="Control_id" dataDxfId="25"/>
    <tableColumn id="2" name="Date" dataDxfId="24"/>
    <tableColumn id="3" name="Year" dataDxfId="23"/>
    <tableColumn id="4" name="Month" dataDxfId="22"/>
    <tableColumn id="5" name="Imposing_country" dataDxfId="21"/>
    <tableColumn id="6" name="Target" dataDxfId="20"/>
    <tableColumn id="7" name="Policy_name" dataDxfId="19"/>
    <tableColumn id="8" name="Severity_score" dataDxfId="18"/>
    <tableColumn id="9" name="Description" dataDxfId="17"/>
    <tableColumn id="10" name="Is_us_action" dataDxfId="16"/>
    <tableColumn id="11" name="Is_china_action" dataDxfId="15"/>
    <tableColumn id="12" name="Is_netherlands_action" dataDxfId="14"/>
    <tableColumn id="13" name="Is_trump_1_0" dataDxfId="13"/>
    <tableColumn id="14" name="Is_biden" dataDxfId="12"/>
    <tableColumn id="15" name="Is_trump_2_0" dataDxfId="11"/>
    <tableColumn id="16" name="Severity_Label" dataDxfId="10">
      <calculatedColumnFormula>IF(H2&gt;=9,"Critical",IF(H2&gt;=7,"High",IF(H2&gt;=5,"Medium","Low")))</calculatedColumnFormula>
    </tableColumn>
    <tableColumn id="17" name="Admin_Era" dataDxfId="9">
      <calculatedColumnFormula>IF(O2=1,"Trump 2.0",IF(N2=1,"Biden",IF(M2=1,"Trump 1.0","Other")))</calculatedColumnFormula>
    </tableColumn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314" totalsRowShown="0">
  <autoFilter ref="A1:I314"/>
  <tableColumns count="9">
    <tableColumn id="1" name="Year" dataDxfId="8"/>
    <tableColumn id="2" name="Company" dataDxfId="7"/>
    <tableColumn id="3" name="Country_iso3" dataDxfId="6"/>
    <tableColumn id="4" name="Process_node_nm" dataDxfId="5"/>
    <tableColumn id="5" name="Fab_type" dataDxfId="4"/>
    <tableColumn id="6" name="Monthly_wafer_capacity" dataDxfId="3"/>
    <tableColumn id="7" name="fab_started_year" dataDxfId="2"/>
    <tableColumn id="8" name="Node_Category" dataDxfId="1">
      <calculatedColumnFormula>IF(D2&lt;=5,"Leading Edge (3-5nm)",IF(D2&lt;=16,"Advanced (7-16nm)",IF(D2&lt;=28,"Mature (22-28nm)","Legacy (40nm+)")))</calculatedColumnFormula>
    </tableColumn>
    <tableColumn id="9" name="Regions" dataDxfId="0">
      <calculatedColumnFormula>IF(C2="TWN","Taiwan",IF(C2="KOR","South Korea",IF(C2="USA","USA",IF(C2="CHN","China",IF(C2="JPN","Japan",IF(C2="DEU","Europe",IF(C2="NLD","Europe",IF(C2="ITA","Europe",IF(C2="ISR","Middle East","Other")))))))))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1"/>
  <sheetViews>
    <sheetView workbookViewId="0">
      <selection activeCell="A13" sqref="A13"/>
    </sheetView>
  </sheetViews>
  <sheetFormatPr defaultColWidth="8.88671875" defaultRowHeight="14.4"/>
  <cols>
    <col min="1" max="1" width="85.109375" customWidth="1"/>
  </cols>
  <sheetData>
    <row r="1" spans="1:1" ht="15.6">
      <c r="A1" s="20" t="s">
        <v>0</v>
      </c>
    </row>
    <row r="2" spans="1:1" ht="52.95" customHeight="1">
      <c r="A2" s="21" t="s">
        <v>1</v>
      </c>
    </row>
    <row r="3" spans="1:1" ht="15.6">
      <c r="A3" s="22"/>
    </row>
    <row r="4" spans="1:1" ht="15.6">
      <c r="A4" s="20" t="s">
        <v>2</v>
      </c>
    </row>
    <row r="5" spans="1:1" ht="52.8">
      <c r="A5" s="21" t="s">
        <v>3</v>
      </c>
    </row>
    <row r="6" spans="1:1">
      <c r="A6" s="23"/>
    </row>
    <row r="7" spans="1:1" ht="15.6">
      <c r="A7" s="20" t="s">
        <v>4</v>
      </c>
    </row>
    <row r="8" spans="1:1">
      <c r="A8" s="24" t="s">
        <v>5</v>
      </c>
    </row>
    <row r="9" spans="1:1" ht="24">
      <c r="A9" s="24" t="s">
        <v>6</v>
      </c>
    </row>
    <row r="10" spans="1:1" ht="24">
      <c r="A10" s="24" t="s">
        <v>7</v>
      </c>
    </row>
    <row r="11" spans="1:1">
      <c r="A11" s="2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8"/>
  <sheetViews>
    <sheetView showGridLines="0" tabSelected="1" zoomScale="50" zoomScaleNormal="50" workbookViewId="0">
      <selection activeCell="C6" sqref="C6"/>
    </sheetView>
  </sheetViews>
  <sheetFormatPr defaultColWidth="12.77734375" defaultRowHeight="18" customHeight="1"/>
  <cols>
    <col min="1" max="2" width="12.77734375" style="13" customWidth="1"/>
    <col min="3" max="3" width="26.88671875" style="13" customWidth="1"/>
    <col min="4" max="8" width="12.77734375" style="13" customWidth="1"/>
    <col min="9" max="9" width="22.6640625" style="13" customWidth="1"/>
    <col min="10" max="14" width="12.77734375" style="13" customWidth="1"/>
    <col min="15" max="15" width="22.33203125" style="13" customWidth="1"/>
    <col min="16" max="20" width="12.77734375" style="13" customWidth="1"/>
    <col min="21" max="21" width="20.44140625" style="13" customWidth="1"/>
    <col min="22" max="22" width="12.77734375" style="13" customWidth="1"/>
    <col min="23" max="16384" width="12.77734375" style="13"/>
  </cols>
  <sheetData>
    <row r="1" spans="1:23" ht="18" customHeight="1">
      <c r="A1" s="26" t="s">
        <v>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3" ht="18" customHeight="1">
      <c r="A2" s="27" t="s">
        <v>10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3" ht="6" customHeight="1"/>
    <row r="4" spans="1:23" ht="18" customHeight="1">
      <c r="A4" s="28" t="s">
        <v>11</v>
      </c>
      <c r="B4" s="28"/>
      <c r="C4" s="28"/>
      <c r="D4" s="28"/>
      <c r="E4" s="28"/>
      <c r="G4" s="28" t="s">
        <v>12</v>
      </c>
      <c r="H4" s="28"/>
      <c r="I4" s="28"/>
      <c r="J4" s="28"/>
      <c r="K4" s="28"/>
      <c r="M4" s="28" t="s">
        <v>13</v>
      </c>
      <c r="N4" s="28"/>
      <c r="O4" s="28"/>
      <c r="P4" s="28"/>
      <c r="Q4" s="28"/>
      <c r="S4" s="28" t="s">
        <v>14</v>
      </c>
      <c r="T4" s="28"/>
      <c r="U4" s="28"/>
      <c r="V4" s="28"/>
      <c r="W4" s="28"/>
    </row>
    <row r="5" spans="1:23" ht="18" customHeight="1">
      <c r="A5" s="28"/>
      <c r="B5" s="28"/>
      <c r="C5" s="28"/>
      <c r="D5" s="28"/>
      <c r="E5" s="28"/>
      <c r="G5" s="28"/>
      <c r="H5" s="28"/>
      <c r="I5" s="28"/>
      <c r="J5" s="28"/>
      <c r="K5" s="28"/>
      <c r="M5" s="28"/>
      <c r="N5" s="28"/>
      <c r="O5" s="28"/>
      <c r="P5" s="28"/>
      <c r="Q5" s="28"/>
      <c r="S5" s="28"/>
      <c r="T5" s="28"/>
      <c r="U5" s="28"/>
      <c r="V5" s="28"/>
      <c r="W5" s="28"/>
    </row>
    <row r="6" spans="1:23" ht="24" customHeight="1">
      <c r="A6" s="14"/>
      <c r="B6" s="14"/>
      <c r="C6" s="15">
        <f>CALC!B2</f>
        <v>828.51</v>
      </c>
      <c r="D6" s="14"/>
      <c r="E6" s="14"/>
      <c r="G6" s="16"/>
      <c r="H6" s="16"/>
      <c r="I6" s="17">
        <f>CALC!B3</f>
        <v>59.5</v>
      </c>
      <c r="J6" s="16"/>
      <c r="K6" s="16"/>
      <c r="M6" s="16"/>
      <c r="N6" s="16"/>
      <c r="O6" s="18">
        <f>CALC!B4</f>
        <v>35640.01</v>
      </c>
      <c r="P6" s="16"/>
      <c r="Q6" s="16"/>
      <c r="S6" s="16"/>
      <c r="T6" s="16"/>
      <c r="U6" s="19">
        <f>CALC!B5</f>
        <v>34</v>
      </c>
      <c r="V6" s="16"/>
      <c r="W6" s="16"/>
    </row>
    <row r="7" spans="1:23" ht="18" customHeight="1">
      <c r="A7" s="14"/>
      <c r="B7" s="14"/>
      <c r="C7" s="14"/>
      <c r="D7" s="14"/>
      <c r="E7" s="14"/>
      <c r="G7" s="16"/>
      <c r="H7" s="16"/>
      <c r="I7" s="16"/>
      <c r="J7" s="16"/>
      <c r="K7" s="16"/>
      <c r="M7" s="16"/>
      <c r="N7" s="16"/>
      <c r="O7" s="16"/>
      <c r="P7" s="16"/>
      <c r="Q7" s="16"/>
      <c r="S7" s="16"/>
      <c r="T7" s="16"/>
      <c r="U7" s="16"/>
      <c r="V7" s="16"/>
      <c r="W7" s="16"/>
    </row>
    <row r="8" spans="1:23" ht="18" customHeight="1">
      <c r="A8" s="14"/>
      <c r="B8" s="14"/>
      <c r="C8" s="14"/>
      <c r="D8" s="14"/>
      <c r="E8" s="14"/>
      <c r="G8" s="16"/>
      <c r="H8" s="16"/>
      <c r="I8" s="16"/>
      <c r="J8" s="16"/>
      <c r="K8" s="16"/>
      <c r="M8" s="16"/>
      <c r="N8" s="16"/>
      <c r="O8" s="16"/>
      <c r="P8" s="16"/>
      <c r="Q8" s="16"/>
      <c r="S8" s="16"/>
      <c r="T8" s="16"/>
      <c r="U8" s="16"/>
      <c r="V8" s="16"/>
      <c r="W8" s="16"/>
    </row>
  </sheetData>
  <mergeCells count="6">
    <mergeCell ref="A1:V1"/>
    <mergeCell ref="A2:V2"/>
    <mergeCell ref="M4:Q5"/>
    <mergeCell ref="S4:W5"/>
    <mergeCell ref="G4:K5"/>
    <mergeCell ref="A4:E5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21"/>
  <sheetViews>
    <sheetView topLeftCell="A37" workbookViewId="0">
      <selection activeCell="E50" sqref="E50"/>
    </sheetView>
  </sheetViews>
  <sheetFormatPr defaultColWidth="8.88671875" defaultRowHeight="14.4"/>
  <cols>
    <col min="1" max="1" width="10.5546875" customWidth="1"/>
    <col min="2" max="2" width="17.6640625" customWidth="1"/>
    <col min="4" max="4" width="11.77734375" customWidth="1"/>
    <col min="5" max="5" width="15.109375" customWidth="1"/>
    <col min="6" max="6" width="14.6640625" customWidth="1"/>
    <col min="7" max="7" width="12.88671875" customWidth="1"/>
    <col min="8" max="8" width="24.109375" customWidth="1"/>
    <col min="9" max="9" width="20.44140625" customWidth="1"/>
    <col min="10" max="10" width="25.5546875" customWidth="1"/>
    <col min="11" max="11" width="34.109375" customWidth="1"/>
    <col min="12" max="12" width="17.5546875" style="1" customWidth="1"/>
    <col min="13" max="13" width="15.77734375" style="1" customWidth="1"/>
  </cols>
  <sheetData>
    <row r="1" spans="1:1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" t="s">
        <v>25</v>
      </c>
      <c r="L1" s="1" t="s">
        <v>26</v>
      </c>
      <c r="M1" s="1" t="s">
        <v>27</v>
      </c>
    </row>
    <row r="2" spans="1:13">
      <c r="A2" s="1">
        <v>2020</v>
      </c>
      <c r="B2" s="1" t="s">
        <v>28</v>
      </c>
      <c r="C2" s="1" t="s">
        <v>29</v>
      </c>
      <c r="D2" s="12">
        <v>42865</v>
      </c>
      <c r="E2" s="1">
        <v>32</v>
      </c>
      <c r="F2" s="11">
        <v>100</v>
      </c>
      <c r="G2" s="11">
        <v>300</v>
      </c>
      <c r="H2" s="11">
        <v>6128</v>
      </c>
      <c r="I2" s="11">
        <v>15000</v>
      </c>
      <c r="J2" s="11">
        <v>91.9</v>
      </c>
      <c r="K2" s="1" t="s">
        <v>30</v>
      </c>
      <c r="L2" s="1" t="str">
        <f>IF(J2&gt;500,"High",IF(J2&gt;100,"Medium","Low"))</f>
        <v>Low</v>
      </c>
      <c r="M2" s="11">
        <f>F2/G2</f>
        <v>0.33333333333333298</v>
      </c>
    </row>
    <row r="3" spans="1:13">
      <c r="A3" s="1">
        <v>2021</v>
      </c>
      <c r="B3" s="1" t="s">
        <v>28</v>
      </c>
      <c r="C3" s="1" t="s">
        <v>29</v>
      </c>
      <c r="D3" s="12">
        <v>42865</v>
      </c>
      <c r="E3" s="1">
        <v>32</v>
      </c>
      <c r="F3" s="11">
        <v>100</v>
      </c>
      <c r="G3" s="11">
        <v>300</v>
      </c>
      <c r="H3" s="11">
        <v>2719</v>
      </c>
      <c r="I3" s="11">
        <v>15000</v>
      </c>
      <c r="J3" s="11">
        <v>40.799999999999997</v>
      </c>
      <c r="K3" s="1" t="s">
        <v>30</v>
      </c>
      <c r="L3" s="1" t="str">
        <f t="shared" ref="L3:L34" si="0">IF(J3&gt;500,"High",IF(J3&gt;100,"Medium","Low"))</f>
        <v>Low</v>
      </c>
      <c r="M3" s="11">
        <f t="shared" ref="M3:M34" si="1">F3/G3</f>
        <v>0.33333333333333298</v>
      </c>
    </row>
    <row r="4" spans="1:13">
      <c r="A4" s="1">
        <v>2022</v>
      </c>
      <c r="B4" s="1" t="s">
        <v>28</v>
      </c>
      <c r="C4" s="1" t="s">
        <v>29</v>
      </c>
      <c r="D4" s="12">
        <v>42865</v>
      </c>
      <c r="E4" s="1">
        <v>32</v>
      </c>
      <c r="F4" s="11">
        <v>100</v>
      </c>
      <c r="G4" s="11">
        <v>300</v>
      </c>
      <c r="H4" s="11">
        <v>3098</v>
      </c>
      <c r="I4" s="11">
        <v>15000</v>
      </c>
      <c r="J4" s="11">
        <v>46.5</v>
      </c>
      <c r="K4" s="1" t="s">
        <v>30</v>
      </c>
      <c r="L4" s="1" t="str">
        <f t="shared" si="0"/>
        <v>Low</v>
      </c>
      <c r="M4" s="11">
        <f t="shared" si="1"/>
        <v>0.33333333333333298</v>
      </c>
    </row>
    <row r="5" spans="1:13">
      <c r="A5" s="1">
        <v>2023</v>
      </c>
      <c r="B5" s="1" t="s">
        <v>28</v>
      </c>
      <c r="C5" s="1" t="s">
        <v>29</v>
      </c>
      <c r="D5" s="12">
        <v>42865</v>
      </c>
      <c r="E5" s="1">
        <v>32</v>
      </c>
      <c r="F5" s="11">
        <v>100</v>
      </c>
      <c r="G5" s="11">
        <v>300</v>
      </c>
      <c r="H5" s="11">
        <v>2572</v>
      </c>
      <c r="I5" s="11">
        <v>15000</v>
      </c>
      <c r="J5" s="11">
        <v>38.6</v>
      </c>
      <c r="K5" s="1" t="s">
        <v>30</v>
      </c>
      <c r="L5" s="1" t="str">
        <f t="shared" si="0"/>
        <v>Low</v>
      </c>
      <c r="M5" s="11">
        <f t="shared" si="1"/>
        <v>0.33333333333333298</v>
      </c>
    </row>
    <row r="6" spans="1:13">
      <c r="A6" s="1">
        <v>2024</v>
      </c>
      <c r="B6" s="1" t="s">
        <v>28</v>
      </c>
      <c r="C6" s="1" t="s">
        <v>29</v>
      </c>
      <c r="D6" s="12">
        <v>42865</v>
      </c>
      <c r="E6" s="1">
        <v>32</v>
      </c>
      <c r="F6" s="11">
        <v>100</v>
      </c>
      <c r="G6" s="11">
        <v>300</v>
      </c>
      <c r="H6" s="11">
        <v>3437</v>
      </c>
      <c r="I6" s="11">
        <v>15000</v>
      </c>
      <c r="J6" s="11">
        <v>51.6</v>
      </c>
      <c r="K6" s="1" t="s">
        <v>30</v>
      </c>
      <c r="L6" s="1" t="str">
        <f t="shared" si="0"/>
        <v>Low</v>
      </c>
      <c r="M6" s="11">
        <f t="shared" si="1"/>
        <v>0.33333333333333298</v>
      </c>
    </row>
    <row r="7" spans="1:13">
      <c r="A7" s="1">
        <v>2025</v>
      </c>
      <c r="B7" s="1" t="s">
        <v>28</v>
      </c>
      <c r="C7" s="1" t="s">
        <v>29</v>
      </c>
      <c r="D7" s="12">
        <v>42865</v>
      </c>
      <c r="E7" s="1">
        <v>32</v>
      </c>
      <c r="F7" s="11">
        <v>100</v>
      </c>
      <c r="G7" s="11">
        <v>300</v>
      </c>
      <c r="H7" s="11">
        <v>2504</v>
      </c>
      <c r="I7" s="11">
        <v>15000</v>
      </c>
      <c r="J7" s="11">
        <v>37.6</v>
      </c>
      <c r="K7" s="1" t="s">
        <v>30</v>
      </c>
      <c r="L7" s="1" t="str">
        <f t="shared" si="0"/>
        <v>Low</v>
      </c>
      <c r="M7" s="11">
        <f t="shared" si="1"/>
        <v>0.33333333333333298</v>
      </c>
    </row>
    <row r="8" spans="1:13">
      <c r="A8" s="1">
        <v>2026</v>
      </c>
      <c r="B8" s="1" t="s">
        <v>28</v>
      </c>
      <c r="C8" s="1" t="s">
        <v>29</v>
      </c>
      <c r="D8" s="12">
        <v>42865</v>
      </c>
      <c r="E8" s="1">
        <v>32</v>
      </c>
      <c r="F8" s="11">
        <v>100</v>
      </c>
      <c r="G8" s="11">
        <v>300</v>
      </c>
      <c r="H8" s="11">
        <v>2873</v>
      </c>
      <c r="I8" s="11">
        <v>15000</v>
      </c>
      <c r="J8" s="11">
        <v>43.1</v>
      </c>
      <c r="K8" s="1" t="s">
        <v>30</v>
      </c>
      <c r="L8" s="1" t="str">
        <f t="shared" si="0"/>
        <v>Low</v>
      </c>
      <c r="M8" s="11">
        <f t="shared" si="1"/>
        <v>0.33333333333333298</v>
      </c>
    </row>
    <row r="9" spans="1:13">
      <c r="A9" s="1">
        <v>2020</v>
      </c>
      <c r="B9" s="1" t="s">
        <v>31</v>
      </c>
      <c r="C9" s="1" t="s">
        <v>29</v>
      </c>
      <c r="D9" s="12">
        <v>43965</v>
      </c>
      <c r="E9" s="1">
        <v>40</v>
      </c>
      <c r="F9" s="11">
        <v>312</v>
      </c>
      <c r="G9" s="11">
        <v>400</v>
      </c>
      <c r="H9" s="11">
        <v>32054</v>
      </c>
      <c r="I9" s="11">
        <v>15000</v>
      </c>
      <c r="J9" s="11">
        <v>480.8</v>
      </c>
      <c r="K9" s="1" t="s">
        <v>32</v>
      </c>
      <c r="L9" s="1" t="str">
        <f t="shared" si="0"/>
        <v>Medium</v>
      </c>
      <c r="M9" s="11">
        <f t="shared" si="1"/>
        <v>0.78</v>
      </c>
    </row>
    <row r="10" spans="1:13">
      <c r="A10" s="1">
        <v>2021</v>
      </c>
      <c r="B10" s="1" t="s">
        <v>31</v>
      </c>
      <c r="C10" s="1" t="s">
        <v>29</v>
      </c>
      <c r="D10" s="12">
        <v>43965</v>
      </c>
      <c r="E10" s="1">
        <v>40</v>
      </c>
      <c r="F10" s="11">
        <v>312</v>
      </c>
      <c r="G10" s="11">
        <v>400</v>
      </c>
      <c r="H10" s="11">
        <v>204990</v>
      </c>
      <c r="I10" s="11">
        <v>15000</v>
      </c>
      <c r="J10" s="11">
        <v>3074.8</v>
      </c>
      <c r="K10" s="1" t="s">
        <v>32</v>
      </c>
      <c r="L10" s="1" t="str">
        <f t="shared" si="0"/>
        <v>High</v>
      </c>
      <c r="M10" s="11">
        <f t="shared" si="1"/>
        <v>0.78</v>
      </c>
    </row>
    <row r="11" spans="1:13">
      <c r="A11" s="1">
        <v>2022</v>
      </c>
      <c r="B11" s="1" t="s">
        <v>31</v>
      </c>
      <c r="C11" s="1" t="s">
        <v>29</v>
      </c>
      <c r="D11" s="12">
        <v>43965</v>
      </c>
      <c r="E11" s="1">
        <v>40</v>
      </c>
      <c r="F11" s="11">
        <v>312</v>
      </c>
      <c r="G11" s="11">
        <v>400</v>
      </c>
      <c r="H11" s="11">
        <v>145343</v>
      </c>
      <c r="I11" s="11">
        <v>15000</v>
      </c>
      <c r="J11" s="11">
        <v>2180.1</v>
      </c>
      <c r="K11" s="1" t="s">
        <v>32</v>
      </c>
      <c r="L11" s="1" t="str">
        <f t="shared" si="0"/>
        <v>High</v>
      </c>
      <c r="M11" s="11">
        <f t="shared" si="1"/>
        <v>0.78</v>
      </c>
    </row>
    <row r="12" spans="1:13">
      <c r="A12" s="1">
        <v>2023</v>
      </c>
      <c r="B12" s="1" t="s">
        <v>31</v>
      </c>
      <c r="C12" s="1" t="s">
        <v>29</v>
      </c>
      <c r="D12" s="12">
        <v>43965</v>
      </c>
      <c r="E12" s="1">
        <v>40</v>
      </c>
      <c r="F12" s="11">
        <v>312</v>
      </c>
      <c r="G12" s="11">
        <v>400</v>
      </c>
      <c r="H12" s="11">
        <v>76814</v>
      </c>
      <c r="I12" s="11">
        <v>15000</v>
      </c>
      <c r="J12" s="11">
        <v>1152.2</v>
      </c>
      <c r="K12" s="1" t="s">
        <v>32</v>
      </c>
      <c r="L12" s="1" t="str">
        <f t="shared" si="0"/>
        <v>High</v>
      </c>
      <c r="M12" s="11">
        <f t="shared" si="1"/>
        <v>0.78</v>
      </c>
    </row>
    <row r="13" spans="1:13">
      <c r="A13" s="1">
        <v>2024</v>
      </c>
      <c r="B13" s="1" t="s">
        <v>31</v>
      </c>
      <c r="C13" s="1" t="s">
        <v>29</v>
      </c>
      <c r="D13" s="12">
        <v>43965</v>
      </c>
      <c r="E13" s="1">
        <v>40</v>
      </c>
      <c r="F13" s="11">
        <v>312</v>
      </c>
      <c r="G13" s="11">
        <v>400</v>
      </c>
      <c r="H13" s="11">
        <v>28956</v>
      </c>
      <c r="I13" s="11">
        <v>15000</v>
      </c>
      <c r="J13" s="11">
        <v>434.3</v>
      </c>
      <c r="K13" s="1" t="s">
        <v>32</v>
      </c>
      <c r="L13" s="1" t="str">
        <f t="shared" si="0"/>
        <v>Medium</v>
      </c>
      <c r="M13" s="11">
        <f t="shared" si="1"/>
        <v>0.78</v>
      </c>
    </row>
    <row r="14" spans="1:13">
      <c r="A14" s="1">
        <v>2025</v>
      </c>
      <c r="B14" s="1" t="s">
        <v>31</v>
      </c>
      <c r="C14" s="1" t="s">
        <v>29</v>
      </c>
      <c r="D14" s="12">
        <v>43965</v>
      </c>
      <c r="E14" s="1">
        <v>40</v>
      </c>
      <c r="F14" s="11">
        <v>312</v>
      </c>
      <c r="G14" s="11">
        <v>400</v>
      </c>
      <c r="H14" s="11">
        <v>26870</v>
      </c>
      <c r="I14" s="11">
        <v>15000</v>
      </c>
      <c r="J14" s="11">
        <v>403.1</v>
      </c>
      <c r="K14" s="1" t="s">
        <v>32</v>
      </c>
      <c r="L14" s="1" t="str">
        <f t="shared" si="0"/>
        <v>Medium</v>
      </c>
      <c r="M14" s="11">
        <f t="shared" si="1"/>
        <v>0.78</v>
      </c>
    </row>
    <row r="15" spans="1:13">
      <c r="A15" s="1">
        <v>2026</v>
      </c>
      <c r="B15" s="1" t="s">
        <v>31</v>
      </c>
      <c r="C15" s="1" t="s">
        <v>29</v>
      </c>
      <c r="D15" s="12">
        <v>43965</v>
      </c>
      <c r="E15" s="1">
        <v>40</v>
      </c>
      <c r="F15" s="11">
        <v>312</v>
      </c>
      <c r="G15" s="11">
        <v>400</v>
      </c>
      <c r="H15" s="11">
        <v>32264</v>
      </c>
      <c r="I15" s="11">
        <v>15000</v>
      </c>
      <c r="J15" s="11">
        <v>484</v>
      </c>
      <c r="K15" s="1" t="s">
        <v>32</v>
      </c>
      <c r="L15" s="1" t="str">
        <f t="shared" si="0"/>
        <v>Medium</v>
      </c>
      <c r="M15" s="11">
        <f t="shared" si="1"/>
        <v>0.78</v>
      </c>
    </row>
    <row r="16" spans="1:13">
      <c r="A16" s="1">
        <v>2023</v>
      </c>
      <c r="B16" s="1" t="s">
        <v>33</v>
      </c>
      <c r="C16" s="1" t="s">
        <v>29</v>
      </c>
      <c r="D16" s="12">
        <v>45007</v>
      </c>
      <c r="E16" s="1">
        <v>80</v>
      </c>
      <c r="F16" s="11">
        <v>989</v>
      </c>
      <c r="G16" s="11">
        <v>700</v>
      </c>
      <c r="H16" s="11">
        <v>582977</v>
      </c>
      <c r="I16" s="11">
        <v>30000</v>
      </c>
      <c r="J16" s="11">
        <v>17489.3</v>
      </c>
      <c r="K16" s="1" t="s">
        <v>34</v>
      </c>
      <c r="L16" s="1" t="str">
        <f t="shared" si="0"/>
        <v>High</v>
      </c>
      <c r="M16" s="11">
        <f t="shared" si="1"/>
        <v>1.4128571428571399</v>
      </c>
    </row>
    <row r="17" spans="1:13">
      <c r="A17" s="1">
        <v>2024</v>
      </c>
      <c r="B17" s="1" t="s">
        <v>33</v>
      </c>
      <c r="C17" s="1" t="s">
        <v>29</v>
      </c>
      <c r="D17" s="12">
        <v>45007</v>
      </c>
      <c r="E17" s="1">
        <v>80</v>
      </c>
      <c r="F17" s="11">
        <v>989</v>
      </c>
      <c r="G17" s="11">
        <v>700</v>
      </c>
      <c r="H17" s="11">
        <v>2466989</v>
      </c>
      <c r="I17" s="11">
        <v>30000</v>
      </c>
      <c r="J17" s="11">
        <v>74009.7</v>
      </c>
      <c r="K17" s="1" t="s">
        <v>34</v>
      </c>
      <c r="L17" s="1" t="str">
        <f t="shared" si="0"/>
        <v>High</v>
      </c>
      <c r="M17" s="11">
        <f t="shared" si="1"/>
        <v>1.4128571428571399</v>
      </c>
    </row>
    <row r="18" spans="1:13">
      <c r="A18" s="1">
        <v>2025</v>
      </c>
      <c r="B18" s="1" t="s">
        <v>33</v>
      </c>
      <c r="C18" s="1" t="s">
        <v>29</v>
      </c>
      <c r="D18" s="12">
        <v>45007</v>
      </c>
      <c r="E18" s="1">
        <v>80</v>
      </c>
      <c r="F18" s="11">
        <v>989</v>
      </c>
      <c r="G18" s="11">
        <v>700</v>
      </c>
      <c r="H18" s="11">
        <v>1874943</v>
      </c>
      <c r="I18" s="11">
        <v>30000</v>
      </c>
      <c r="J18" s="11">
        <v>56248.3</v>
      </c>
      <c r="K18" s="1" t="s">
        <v>34</v>
      </c>
      <c r="L18" s="1" t="str">
        <f t="shared" si="0"/>
        <v>High</v>
      </c>
      <c r="M18" s="11">
        <f t="shared" si="1"/>
        <v>1.4128571428571399</v>
      </c>
    </row>
    <row r="19" spans="1:13">
      <c r="A19" s="1">
        <v>2026</v>
      </c>
      <c r="B19" s="1" t="s">
        <v>33</v>
      </c>
      <c r="C19" s="1" t="s">
        <v>29</v>
      </c>
      <c r="D19" s="12">
        <v>45007</v>
      </c>
      <c r="E19" s="1">
        <v>80</v>
      </c>
      <c r="F19" s="11">
        <v>989</v>
      </c>
      <c r="G19" s="11">
        <v>700</v>
      </c>
      <c r="H19" s="11">
        <v>1126912</v>
      </c>
      <c r="I19" s="11">
        <v>30000</v>
      </c>
      <c r="J19" s="11">
        <v>33807.4</v>
      </c>
      <c r="K19" s="1" t="s">
        <v>34</v>
      </c>
      <c r="L19" s="1" t="str">
        <f t="shared" si="0"/>
        <v>High</v>
      </c>
      <c r="M19" s="11">
        <f t="shared" si="1"/>
        <v>1.4128571428571399</v>
      </c>
    </row>
    <row r="20" spans="1:13">
      <c r="A20" s="1">
        <v>2024</v>
      </c>
      <c r="B20" s="1" t="s">
        <v>35</v>
      </c>
      <c r="C20" s="1" t="s">
        <v>29</v>
      </c>
      <c r="D20" s="12">
        <v>45397</v>
      </c>
      <c r="E20" s="1">
        <v>141</v>
      </c>
      <c r="F20" s="11">
        <v>989</v>
      </c>
      <c r="G20" s="11">
        <v>700</v>
      </c>
      <c r="H20" s="11">
        <v>115829</v>
      </c>
      <c r="I20" s="11">
        <v>32000</v>
      </c>
      <c r="J20" s="11">
        <v>3706.5</v>
      </c>
      <c r="K20" s="1" t="s">
        <v>36</v>
      </c>
      <c r="L20" s="1" t="str">
        <f t="shared" si="0"/>
        <v>High</v>
      </c>
      <c r="M20" s="11">
        <f t="shared" si="1"/>
        <v>1.4128571428571399</v>
      </c>
    </row>
    <row r="21" spans="1:13">
      <c r="A21" s="1">
        <v>2025</v>
      </c>
      <c r="B21" s="1" t="s">
        <v>35</v>
      </c>
      <c r="C21" s="1" t="s">
        <v>29</v>
      </c>
      <c r="D21" s="12">
        <v>45397</v>
      </c>
      <c r="E21" s="1">
        <v>141</v>
      </c>
      <c r="F21" s="11">
        <v>989</v>
      </c>
      <c r="G21" s="11">
        <v>700</v>
      </c>
      <c r="H21" s="11">
        <v>573022</v>
      </c>
      <c r="I21" s="11">
        <v>32000</v>
      </c>
      <c r="J21" s="11">
        <v>18336.7</v>
      </c>
      <c r="K21" s="1" t="s">
        <v>36</v>
      </c>
      <c r="L21" s="1" t="str">
        <f t="shared" si="0"/>
        <v>High</v>
      </c>
      <c r="M21" s="11">
        <f t="shared" si="1"/>
        <v>1.4128571428571399</v>
      </c>
    </row>
    <row r="22" spans="1:13">
      <c r="A22" s="1">
        <v>2026</v>
      </c>
      <c r="B22" s="1" t="s">
        <v>35</v>
      </c>
      <c r="C22" s="1" t="s">
        <v>29</v>
      </c>
      <c r="D22" s="12">
        <v>45397</v>
      </c>
      <c r="E22" s="1">
        <v>141</v>
      </c>
      <c r="F22" s="11">
        <v>989</v>
      </c>
      <c r="G22" s="11">
        <v>700</v>
      </c>
      <c r="H22" s="11">
        <v>487597</v>
      </c>
      <c r="I22" s="11">
        <v>32000</v>
      </c>
      <c r="J22" s="11">
        <v>15603.1</v>
      </c>
      <c r="K22" s="1" t="s">
        <v>36</v>
      </c>
      <c r="L22" s="1" t="str">
        <f t="shared" si="0"/>
        <v>High</v>
      </c>
      <c r="M22" s="11">
        <f t="shared" si="1"/>
        <v>1.4128571428571399</v>
      </c>
    </row>
    <row r="23" spans="1:13">
      <c r="A23" s="1">
        <v>2023</v>
      </c>
      <c r="B23" s="1" t="s">
        <v>37</v>
      </c>
      <c r="C23" s="1" t="s">
        <v>29</v>
      </c>
      <c r="D23" s="12">
        <v>45146</v>
      </c>
      <c r="E23" s="1">
        <v>48</v>
      </c>
      <c r="F23" s="11">
        <v>362</v>
      </c>
      <c r="G23" s="11">
        <v>350</v>
      </c>
      <c r="H23" s="11">
        <v>51592</v>
      </c>
      <c r="I23" s="11">
        <v>15000</v>
      </c>
      <c r="J23" s="11">
        <v>773.9</v>
      </c>
      <c r="K23" s="1" t="s">
        <v>38</v>
      </c>
      <c r="L23" s="1" t="str">
        <f t="shared" si="0"/>
        <v>High</v>
      </c>
      <c r="M23" s="11">
        <f t="shared" si="1"/>
        <v>1.03428571428571</v>
      </c>
    </row>
    <row r="24" spans="1:13">
      <c r="A24" s="1">
        <v>2024</v>
      </c>
      <c r="B24" s="1" t="s">
        <v>37</v>
      </c>
      <c r="C24" s="1" t="s">
        <v>29</v>
      </c>
      <c r="D24" s="12">
        <v>45146</v>
      </c>
      <c r="E24" s="1">
        <v>48</v>
      </c>
      <c r="F24" s="11">
        <v>362</v>
      </c>
      <c r="G24" s="11">
        <v>350</v>
      </c>
      <c r="H24" s="11">
        <v>327147</v>
      </c>
      <c r="I24" s="11">
        <v>15000</v>
      </c>
      <c r="J24" s="11">
        <v>4907.2</v>
      </c>
      <c r="K24" s="1" t="s">
        <v>38</v>
      </c>
      <c r="L24" s="1" t="str">
        <f t="shared" si="0"/>
        <v>High</v>
      </c>
      <c r="M24" s="11">
        <f t="shared" si="1"/>
        <v>1.03428571428571</v>
      </c>
    </row>
    <row r="25" spans="1:13">
      <c r="A25" s="1">
        <v>2025</v>
      </c>
      <c r="B25" s="1" t="s">
        <v>37</v>
      </c>
      <c r="C25" s="1" t="s">
        <v>29</v>
      </c>
      <c r="D25" s="12">
        <v>45146</v>
      </c>
      <c r="E25" s="1">
        <v>48</v>
      </c>
      <c r="F25" s="11">
        <v>362</v>
      </c>
      <c r="G25" s="11">
        <v>350</v>
      </c>
      <c r="H25" s="11">
        <v>359171</v>
      </c>
      <c r="I25" s="11">
        <v>15000</v>
      </c>
      <c r="J25" s="11">
        <v>5387.6</v>
      </c>
      <c r="K25" s="1" t="s">
        <v>38</v>
      </c>
      <c r="L25" s="1" t="str">
        <f t="shared" si="0"/>
        <v>High</v>
      </c>
      <c r="M25" s="11">
        <f t="shared" si="1"/>
        <v>1.03428571428571</v>
      </c>
    </row>
    <row r="26" spans="1:13">
      <c r="A26" s="1">
        <v>2026</v>
      </c>
      <c r="B26" s="1" t="s">
        <v>37</v>
      </c>
      <c r="C26" s="1" t="s">
        <v>29</v>
      </c>
      <c r="D26" s="12">
        <v>45146</v>
      </c>
      <c r="E26" s="1">
        <v>48</v>
      </c>
      <c r="F26" s="11">
        <v>362</v>
      </c>
      <c r="G26" s="11">
        <v>350</v>
      </c>
      <c r="H26" s="11">
        <v>120445</v>
      </c>
      <c r="I26" s="11">
        <v>15000</v>
      </c>
      <c r="J26" s="11">
        <v>1806.7</v>
      </c>
      <c r="K26" s="1" t="s">
        <v>38</v>
      </c>
      <c r="L26" s="1" t="str">
        <f t="shared" si="0"/>
        <v>High</v>
      </c>
      <c r="M26" s="11">
        <f t="shared" si="1"/>
        <v>1.03428571428571</v>
      </c>
    </row>
    <row r="27" spans="1:13">
      <c r="A27" s="1">
        <v>2024</v>
      </c>
      <c r="B27" s="1" t="s">
        <v>39</v>
      </c>
      <c r="C27" s="1" t="s">
        <v>29</v>
      </c>
      <c r="D27" s="12">
        <v>45595</v>
      </c>
      <c r="E27" s="1">
        <v>192</v>
      </c>
      <c r="F27" s="11">
        <v>2250</v>
      </c>
      <c r="G27" s="11">
        <v>1000</v>
      </c>
      <c r="H27" s="11">
        <v>5165</v>
      </c>
      <c r="I27" s="11">
        <v>35000</v>
      </c>
      <c r="J27" s="11">
        <v>180.8</v>
      </c>
      <c r="K27" s="1" t="s">
        <v>40</v>
      </c>
      <c r="L27" s="1" t="str">
        <f t="shared" si="0"/>
        <v>Medium</v>
      </c>
      <c r="M27" s="11">
        <f t="shared" si="1"/>
        <v>2.25</v>
      </c>
    </row>
    <row r="28" spans="1:13">
      <c r="A28" s="1">
        <v>2025</v>
      </c>
      <c r="B28" s="1" t="s">
        <v>39</v>
      </c>
      <c r="C28" s="1" t="s">
        <v>29</v>
      </c>
      <c r="D28" s="12">
        <v>45595</v>
      </c>
      <c r="E28" s="1">
        <v>192</v>
      </c>
      <c r="F28" s="11">
        <v>2250</v>
      </c>
      <c r="G28" s="11">
        <v>1000</v>
      </c>
      <c r="H28" s="11">
        <v>126650</v>
      </c>
      <c r="I28" s="11">
        <v>35000</v>
      </c>
      <c r="J28" s="11">
        <v>4432.8</v>
      </c>
      <c r="K28" s="1" t="s">
        <v>40</v>
      </c>
      <c r="L28" s="1" t="str">
        <f t="shared" si="0"/>
        <v>High</v>
      </c>
      <c r="M28" s="11">
        <f t="shared" si="1"/>
        <v>2.25</v>
      </c>
    </row>
    <row r="29" spans="1:13">
      <c r="A29" s="1">
        <v>2026</v>
      </c>
      <c r="B29" s="1" t="s">
        <v>39</v>
      </c>
      <c r="C29" s="1" t="s">
        <v>29</v>
      </c>
      <c r="D29" s="12">
        <v>45595</v>
      </c>
      <c r="E29" s="1">
        <v>192</v>
      </c>
      <c r="F29" s="11">
        <v>2250</v>
      </c>
      <c r="G29" s="11">
        <v>1000</v>
      </c>
      <c r="H29" s="11">
        <v>86084</v>
      </c>
      <c r="I29" s="11">
        <v>35000</v>
      </c>
      <c r="J29" s="11">
        <v>3012.9</v>
      </c>
      <c r="K29" s="1" t="s">
        <v>40</v>
      </c>
      <c r="L29" s="1" t="str">
        <f t="shared" si="0"/>
        <v>High</v>
      </c>
      <c r="M29" s="11">
        <f t="shared" si="1"/>
        <v>2.25</v>
      </c>
    </row>
    <row r="30" spans="1:13">
      <c r="A30" s="1">
        <v>2024</v>
      </c>
      <c r="B30" s="1" t="s">
        <v>41</v>
      </c>
      <c r="C30" s="1" t="s">
        <v>29</v>
      </c>
      <c r="D30" s="12">
        <v>45595</v>
      </c>
      <c r="E30" s="1">
        <v>384</v>
      </c>
      <c r="F30" s="11">
        <v>5000</v>
      </c>
      <c r="G30" s="11">
        <v>2700</v>
      </c>
      <c r="H30" s="11">
        <v>2564</v>
      </c>
      <c r="I30" s="11">
        <v>65000</v>
      </c>
      <c r="J30" s="11">
        <v>166.7</v>
      </c>
      <c r="K30" s="1" t="s">
        <v>42</v>
      </c>
      <c r="L30" s="1" t="str">
        <f t="shared" si="0"/>
        <v>Medium</v>
      </c>
      <c r="M30" s="11">
        <f t="shared" si="1"/>
        <v>1.8518518518518501</v>
      </c>
    </row>
    <row r="31" spans="1:13">
      <c r="A31" s="1">
        <v>2025</v>
      </c>
      <c r="B31" s="1" t="s">
        <v>41</v>
      </c>
      <c r="C31" s="1" t="s">
        <v>29</v>
      </c>
      <c r="D31" s="12">
        <v>45595</v>
      </c>
      <c r="E31" s="1">
        <v>384</v>
      </c>
      <c r="F31" s="11">
        <v>5000</v>
      </c>
      <c r="G31" s="11">
        <v>2700</v>
      </c>
      <c r="H31" s="11">
        <v>45968</v>
      </c>
      <c r="I31" s="11">
        <v>65000</v>
      </c>
      <c r="J31" s="11">
        <v>2987.9</v>
      </c>
      <c r="K31" s="1" t="s">
        <v>42</v>
      </c>
      <c r="L31" s="1" t="str">
        <f t="shared" si="0"/>
        <v>High</v>
      </c>
      <c r="M31" s="11">
        <f t="shared" si="1"/>
        <v>1.8518518518518501</v>
      </c>
    </row>
    <row r="32" spans="1:13">
      <c r="A32" s="1">
        <v>2026</v>
      </c>
      <c r="B32" s="1" t="s">
        <v>41</v>
      </c>
      <c r="C32" s="1" t="s">
        <v>29</v>
      </c>
      <c r="D32" s="12">
        <v>45595</v>
      </c>
      <c r="E32" s="1">
        <v>384</v>
      </c>
      <c r="F32" s="11">
        <v>5000</v>
      </c>
      <c r="G32" s="11">
        <v>2700</v>
      </c>
      <c r="H32" s="11">
        <v>40186</v>
      </c>
      <c r="I32" s="11">
        <v>65000</v>
      </c>
      <c r="J32" s="11">
        <v>2612.1</v>
      </c>
      <c r="K32" s="1" t="s">
        <v>42</v>
      </c>
      <c r="L32" s="1" t="str">
        <f t="shared" si="0"/>
        <v>High</v>
      </c>
      <c r="M32" s="11">
        <f t="shared" si="1"/>
        <v>1.8518518518518501</v>
      </c>
    </row>
    <row r="33" spans="1:13">
      <c r="A33" s="1">
        <v>2025</v>
      </c>
      <c r="B33" s="1" t="s">
        <v>43</v>
      </c>
      <c r="C33" s="1" t="s">
        <v>29</v>
      </c>
      <c r="D33" s="12">
        <v>46006</v>
      </c>
      <c r="E33" s="1">
        <v>288</v>
      </c>
      <c r="F33" s="11">
        <v>3500</v>
      </c>
      <c r="G33" s="11">
        <v>1400</v>
      </c>
      <c r="H33" s="11">
        <v>0</v>
      </c>
      <c r="I33" s="11">
        <v>40000</v>
      </c>
      <c r="J33" s="11">
        <v>0</v>
      </c>
      <c r="K33" s="1" t="s">
        <v>44</v>
      </c>
      <c r="L33" s="1" t="str">
        <f t="shared" si="0"/>
        <v>Low</v>
      </c>
      <c r="M33" s="11">
        <f t="shared" si="1"/>
        <v>2.5</v>
      </c>
    </row>
    <row r="34" spans="1:13">
      <c r="A34" s="1">
        <v>2026</v>
      </c>
      <c r="B34" s="1" t="s">
        <v>43</v>
      </c>
      <c r="C34" s="1" t="s">
        <v>29</v>
      </c>
      <c r="D34" s="12">
        <v>46006</v>
      </c>
      <c r="E34" s="1">
        <v>288</v>
      </c>
      <c r="F34" s="11">
        <v>3500</v>
      </c>
      <c r="G34" s="11">
        <v>1400</v>
      </c>
      <c r="H34" s="11">
        <v>888</v>
      </c>
      <c r="I34" s="11">
        <v>40000</v>
      </c>
      <c r="J34" s="11">
        <v>35.5</v>
      </c>
      <c r="K34" s="1" t="s">
        <v>44</v>
      </c>
      <c r="L34" s="1" t="str">
        <f t="shared" si="0"/>
        <v>Low</v>
      </c>
      <c r="M34" s="11">
        <f t="shared" si="1"/>
        <v>2.5</v>
      </c>
    </row>
    <row r="35" spans="1:13">
      <c r="A35" s="1">
        <v>2021</v>
      </c>
      <c r="B35" s="1" t="s">
        <v>45</v>
      </c>
      <c r="C35" s="1" t="s">
        <v>46</v>
      </c>
      <c r="D35" s="12">
        <v>44508</v>
      </c>
      <c r="E35" s="1">
        <v>128</v>
      </c>
      <c r="F35" s="11">
        <v>383</v>
      </c>
      <c r="G35" s="11">
        <v>500</v>
      </c>
      <c r="H35" s="11">
        <v>23</v>
      </c>
      <c r="I35" s="11">
        <v>15000</v>
      </c>
      <c r="J35" s="11">
        <v>0.3</v>
      </c>
      <c r="K35" s="1" t="s">
        <v>47</v>
      </c>
      <c r="L35" s="1" t="str">
        <f t="shared" ref="L35:L66" si="2">IF(J35&gt;500,"High",IF(J35&gt;100,"Medium","Low"))</f>
        <v>Low</v>
      </c>
      <c r="M35" s="11">
        <f t="shared" ref="M35:M66" si="3">F35/G35</f>
        <v>0.76600000000000001</v>
      </c>
    </row>
    <row r="36" spans="1:13">
      <c r="A36" s="1">
        <v>2022</v>
      </c>
      <c r="B36" s="1" t="s">
        <v>45</v>
      </c>
      <c r="C36" s="1" t="s">
        <v>46</v>
      </c>
      <c r="D36" s="12">
        <v>44508</v>
      </c>
      <c r="E36" s="1">
        <v>128</v>
      </c>
      <c r="F36" s="11">
        <v>383</v>
      </c>
      <c r="G36" s="11">
        <v>500</v>
      </c>
      <c r="H36" s="11">
        <v>1030</v>
      </c>
      <c r="I36" s="11">
        <v>15000</v>
      </c>
      <c r="J36" s="11">
        <v>15.4</v>
      </c>
      <c r="K36" s="1" t="s">
        <v>47</v>
      </c>
      <c r="L36" s="1" t="str">
        <f t="shared" si="2"/>
        <v>Low</v>
      </c>
      <c r="M36" s="11">
        <f t="shared" si="3"/>
        <v>0.76600000000000001</v>
      </c>
    </row>
    <row r="37" spans="1:13">
      <c r="A37" s="1">
        <v>2023</v>
      </c>
      <c r="B37" s="1" t="s">
        <v>45</v>
      </c>
      <c r="C37" s="1" t="s">
        <v>46</v>
      </c>
      <c r="D37" s="12">
        <v>44508</v>
      </c>
      <c r="E37" s="1">
        <v>128</v>
      </c>
      <c r="F37" s="11">
        <v>383</v>
      </c>
      <c r="G37" s="11">
        <v>500</v>
      </c>
      <c r="H37" s="11">
        <v>713</v>
      </c>
      <c r="I37" s="11">
        <v>15000</v>
      </c>
      <c r="J37" s="11">
        <v>10.7</v>
      </c>
      <c r="K37" s="1" t="s">
        <v>47</v>
      </c>
      <c r="L37" s="1" t="str">
        <f t="shared" si="2"/>
        <v>Low</v>
      </c>
      <c r="M37" s="11">
        <f t="shared" si="3"/>
        <v>0.76600000000000001</v>
      </c>
    </row>
    <row r="38" spans="1:13">
      <c r="A38" s="1">
        <v>2024</v>
      </c>
      <c r="B38" s="1" t="s">
        <v>45</v>
      </c>
      <c r="C38" s="1" t="s">
        <v>46</v>
      </c>
      <c r="D38" s="12">
        <v>44508</v>
      </c>
      <c r="E38" s="1">
        <v>128</v>
      </c>
      <c r="F38" s="11">
        <v>383</v>
      </c>
      <c r="G38" s="11">
        <v>500</v>
      </c>
      <c r="H38" s="11">
        <v>354</v>
      </c>
      <c r="I38" s="11">
        <v>15000</v>
      </c>
      <c r="J38" s="11">
        <v>5.3</v>
      </c>
      <c r="K38" s="1" t="s">
        <v>47</v>
      </c>
      <c r="L38" s="1" t="str">
        <f t="shared" si="2"/>
        <v>Low</v>
      </c>
      <c r="M38" s="11">
        <f t="shared" si="3"/>
        <v>0.76600000000000001</v>
      </c>
    </row>
    <row r="39" spans="1:13">
      <c r="A39" s="1">
        <v>2025</v>
      </c>
      <c r="B39" s="1" t="s">
        <v>45</v>
      </c>
      <c r="C39" s="1" t="s">
        <v>46</v>
      </c>
      <c r="D39" s="12">
        <v>44508</v>
      </c>
      <c r="E39" s="1">
        <v>128</v>
      </c>
      <c r="F39" s="11">
        <v>383</v>
      </c>
      <c r="G39" s="11">
        <v>500</v>
      </c>
      <c r="H39" s="11">
        <v>122</v>
      </c>
      <c r="I39" s="11">
        <v>15000</v>
      </c>
      <c r="J39" s="11">
        <v>1.8</v>
      </c>
      <c r="K39" s="1" t="s">
        <v>47</v>
      </c>
      <c r="L39" s="1" t="str">
        <f t="shared" si="2"/>
        <v>Low</v>
      </c>
      <c r="M39" s="11">
        <f t="shared" si="3"/>
        <v>0.76600000000000001</v>
      </c>
    </row>
    <row r="40" spans="1:13">
      <c r="A40" s="1">
        <v>2026</v>
      </c>
      <c r="B40" s="1" t="s">
        <v>45</v>
      </c>
      <c r="C40" s="1" t="s">
        <v>46</v>
      </c>
      <c r="D40" s="12">
        <v>44508</v>
      </c>
      <c r="E40" s="1">
        <v>128</v>
      </c>
      <c r="F40" s="11">
        <v>383</v>
      </c>
      <c r="G40" s="11">
        <v>500</v>
      </c>
      <c r="H40" s="11">
        <v>159</v>
      </c>
      <c r="I40" s="11">
        <v>15000</v>
      </c>
      <c r="J40" s="11">
        <v>2.4</v>
      </c>
      <c r="K40" s="1" t="s">
        <v>47</v>
      </c>
      <c r="L40" s="1" t="str">
        <f t="shared" si="2"/>
        <v>Low</v>
      </c>
      <c r="M40" s="11">
        <f t="shared" si="3"/>
        <v>0.76600000000000001</v>
      </c>
    </row>
    <row r="41" spans="1:13">
      <c r="A41" s="1">
        <v>2023</v>
      </c>
      <c r="B41" s="1" t="s">
        <v>48</v>
      </c>
      <c r="C41" s="1" t="s">
        <v>46</v>
      </c>
      <c r="D41" s="12">
        <v>45266</v>
      </c>
      <c r="E41" s="1">
        <v>192</v>
      </c>
      <c r="F41" s="11">
        <v>1300</v>
      </c>
      <c r="G41" s="11">
        <v>750</v>
      </c>
      <c r="H41" s="11">
        <v>0</v>
      </c>
      <c r="I41" s="11">
        <v>18000</v>
      </c>
      <c r="J41" s="11">
        <v>0</v>
      </c>
      <c r="K41" s="1" t="s">
        <v>49</v>
      </c>
      <c r="L41" s="1" t="str">
        <f t="shared" si="2"/>
        <v>Low</v>
      </c>
      <c r="M41" s="11">
        <f t="shared" si="3"/>
        <v>1.7333333333333301</v>
      </c>
    </row>
    <row r="42" spans="1:13">
      <c r="A42" s="1">
        <v>2024</v>
      </c>
      <c r="B42" s="1" t="s">
        <v>48</v>
      </c>
      <c r="C42" s="1" t="s">
        <v>46</v>
      </c>
      <c r="D42" s="12">
        <v>45266</v>
      </c>
      <c r="E42" s="1">
        <v>192</v>
      </c>
      <c r="F42" s="11">
        <v>1300</v>
      </c>
      <c r="G42" s="11">
        <v>750</v>
      </c>
      <c r="H42" s="11">
        <v>414143</v>
      </c>
      <c r="I42" s="11">
        <v>18000</v>
      </c>
      <c r="J42" s="11">
        <v>7454.6</v>
      </c>
      <c r="K42" s="1" t="s">
        <v>49</v>
      </c>
      <c r="L42" s="1" t="str">
        <f t="shared" si="2"/>
        <v>High</v>
      </c>
      <c r="M42" s="11">
        <f t="shared" si="3"/>
        <v>1.7333333333333301</v>
      </c>
    </row>
    <row r="43" spans="1:13">
      <c r="A43" s="1">
        <v>2025</v>
      </c>
      <c r="B43" s="1" t="s">
        <v>48</v>
      </c>
      <c r="C43" s="1" t="s">
        <v>46</v>
      </c>
      <c r="D43" s="12">
        <v>45266</v>
      </c>
      <c r="E43" s="1">
        <v>192</v>
      </c>
      <c r="F43" s="11">
        <v>1300</v>
      </c>
      <c r="G43" s="11">
        <v>750</v>
      </c>
      <c r="H43" s="11">
        <v>369849</v>
      </c>
      <c r="I43" s="11">
        <v>18000</v>
      </c>
      <c r="J43" s="11">
        <v>6657.3</v>
      </c>
      <c r="K43" s="1" t="s">
        <v>49</v>
      </c>
      <c r="L43" s="1" t="str">
        <f t="shared" si="2"/>
        <v>High</v>
      </c>
      <c r="M43" s="11">
        <f t="shared" si="3"/>
        <v>1.7333333333333301</v>
      </c>
    </row>
    <row r="44" spans="1:13">
      <c r="A44" s="1">
        <v>2026</v>
      </c>
      <c r="B44" s="1" t="s">
        <v>48</v>
      </c>
      <c r="C44" s="1" t="s">
        <v>46</v>
      </c>
      <c r="D44" s="12">
        <v>45266</v>
      </c>
      <c r="E44" s="1">
        <v>192</v>
      </c>
      <c r="F44" s="11">
        <v>1300</v>
      </c>
      <c r="G44" s="11">
        <v>750</v>
      </c>
      <c r="H44" s="11">
        <v>162122</v>
      </c>
      <c r="I44" s="11">
        <v>18000</v>
      </c>
      <c r="J44" s="11">
        <v>2918.2</v>
      </c>
      <c r="K44" s="1" t="s">
        <v>49</v>
      </c>
      <c r="L44" s="1" t="str">
        <f t="shared" si="2"/>
        <v>High</v>
      </c>
      <c r="M44" s="11">
        <f t="shared" si="3"/>
        <v>1.7333333333333301</v>
      </c>
    </row>
    <row r="45" spans="1:13">
      <c r="A45" s="1">
        <v>2024</v>
      </c>
      <c r="B45" s="1" t="s">
        <v>50</v>
      </c>
      <c r="C45" s="1" t="s">
        <v>46</v>
      </c>
      <c r="D45" s="12">
        <v>45575</v>
      </c>
      <c r="E45" s="1">
        <v>256</v>
      </c>
      <c r="F45" s="11">
        <v>1300</v>
      </c>
      <c r="G45" s="11">
        <v>1000</v>
      </c>
      <c r="H45" s="11">
        <v>2651</v>
      </c>
      <c r="I45" s="11">
        <v>22000</v>
      </c>
      <c r="J45" s="11">
        <v>58.3</v>
      </c>
      <c r="K45" s="1" t="s">
        <v>51</v>
      </c>
      <c r="L45" s="1" t="str">
        <f t="shared" si="2"/>
        <v>Low</v>
      </c>
      <c r="M45" s="11">
        <f t="shared" si="3"/>
        <v>1.3</v>
      </c>
    </row>
    <row r="46" spans="1:13">
      <c r="A46" s="1">
        <v>2025</v>
      </c>
      <c r="B46" s="1" t="s">
        <v>50</v>
      </c>
      <c r="C46" s="1" t="s">
        <v>46</v>
      </c>
      <c r="D46" s="12">
        <v>45575</v>
      </c>
      <c r="E46" s="1">
        <v>256</v>
      </c>
      <c r="F46" s="11">
        <v>1300</v>
      </c>
      <c r="G46" s="11">
        <v>1000</v>
      </c>
      <c r="H46" s="11">
        <v>52331</v>
      </c>
      <c r="I46" s="11">
        <v>22000</v>
      </c>
      <c r="J46" s="11">
        <v>1151.3</v>
      </c>
      <c r="K46" s="1" t="s">
        <v>51</v>
      </c>
      <c r="L46" s="1" t="str">
        <f t="shared" si="2"/>
        <v>High</v>
      </c>
      <c r="M46" s="11">
        <f t="shared" si="3"/>
        <v>1.3</v>
      </c>
    </row>
    <row r="47" spans="1:13">
      <c r="A47" s="1">
        <v>2026</v>
      </c>
      <c r="B47" s="1" t="s">
        <v>50</v>
      </c>
      <c r="C47" s="1" t="s">
        <v>46</v>
      </c>
      <c r="D47" s="12">
        <v>45575</v>
      </c>
      <c r="E47" s="1">
        <v>256</v>
      </c>
      <c r="F47" s="11">
        <v>1300</v>
      </c>
      <c r="G47" s="11">
        <v>1000</v>
      </c>
      <c r="H47" s="11">
        <v>39454</v>
      </c>
      <c r="I47" s="11">
        <v>22000</v>
      </c>
      <c r="J47" s="11">
        <v>868</v>
      </c>
      <c r="K47" s="1" t="s">
        <v>51</v>
      </c>
      <c r="L47" s="1" t="str">
        <f t="shared" si="2"/>
        <v>High</v>
      </c>
      <c r="M47" s="11">
        <f t="shared" si="3"/>
        <v>1.3</v>
      </c>
    </row>
    <row r="48" spans="1:13">
      <c r="A48" s="1">
        <v>2025</v>
      </c>
      <c r="B48" s="1" t="s">
        <v>52</v>
      </c>
      <c r="C48" s="1" t="s">
        <v>46</v>
      </c>
      <c r="D48" s="12">
        <v>45809</v>
      </c>
      <c r="E48" s="1">
        <v>288</v>
      </c>
      <c r="F48" s="11">
        <v>1850</v>
      </c>
      <c r="G48" s="11">
        <v>1000</v>
      </c>
      <c r="H48" s="11">
        <v>138</v>
      </c>
      <c r="I48" s="11">
        <v>15000</v>
      </c>
      <c r="J48" s="11">
        <v>2.1</v>
      </c>
      <c r="K48" s="1" t="s">
        <v>53</v>
      </c>
      <c r="L48" s="1" t="str">
        <f t="shared" si="2"/>
        <v>Low</v>
      </c>
      <c r="M48" s="11">
        <f t="shared" si="3"/>
        <v>1.85</v>
      </c>
    </row>
    <row r="49" spans="1:13">
      <c r="A49" s="1">
        <v>2026</v>
      </c>
      <c r="B49" s="1" t="s">
        <v>52</v>
      </c>
      <c r="C49" s="1" t="s">
        <v>46</v>
      </c>
      <c r="D49" s="12">
        <v>45809</v>
      </c>
      <c r="E49" s="1">
        <v>288</v>
      </c>
      <c r="F49" s="11">
        <v>1850</v>
      </c>
      <c r="G49" s="11">
        <v>1000</v>
      </c>
      <c r="H49" s="11">
        <v>1393</v>
      </c>
      <c r="I49" s="11">
        <v>15000</v>
      </c>
      <c r="J49" s="11">
        <v>20.9</v>
      </c>
      <c r="K49" s="1" t="s">
        <v>53</v>
      </c>
      <c r="L49" s="1" t="str">
        <f t="shared" si="2"/>
        <v>Low</v>
      </c>
      <c r="M49" s="11">
        <f t="shared" si="3"/>
        <v>1.85</v>
      </c>
    </row>
    <row r="50" spans="1:13">
      <c r="A50" s="1">
        <v>2020</v>
      </c>
      <c r="B50" s="1" t="s">
        <v>54</v>
      </c>
      <c r="C50" s="1" t="s">
        <v>55</v>
      </c>
      <c r="D50" s="12">
        <v>43228</v>
      </c>
      <c r="E50" s="1">
        <v>32</v>
      </c>
      <c r="F50" s="11">
        <v>123</v>
      </c>
      <c r="G50" s="11">
        <v>220</v>
      </c>
      <c r="H50" s="11">
        <v>747</v>
      </c>
      <c r="I50" s="11">
        <v>15000</v>
      </c>
      <c r="J50" s="11">
        <v>11.2</v>
      </c>
      <c r="K50" s="1" t="s">
        <v>56</v>
      </c>
      <c r="L50" s="1" t="str">
        <f t="shared" si="2"/>
        <v>Low</v>
      </c>
      <c r="M50" s="11">
        <f t="shared" si="3"/>
        <v>0.55909090909090897</v>
      </c>
    </row>
    <row r="51" spans="1:13">
      <c r="A51" s="1">
        <v>2021</v>
      </c>
      <c r="B51" s="1" t="s">
        <v>54</v>
      </c>
      <c r="C51" s="1" t="s">
        <v>55</v>
      </c>
      <c r="D51" s="12">
        <v>43228</v>
      </c>
      <c r="E51" s="1">
        <v>32</v>
      </c>
      <c r="F51" s="11">
        <v>123</v>
      </c>
      <c r="G51" s="11">
        <v>220</v>
      </c>
      <c r="H51" s="11">
        <v>361</v>
      </c>
      <c r="I51" s="11">
        <v>15000</v>
      </c>
      <c r="J51" s="11">
        <v>5.4</v>
      </c>
      <c r="K51" s="1" t="s">
        <v>56</v>
      </c>
      <c r="L51" s="1" t="str">
        <f t="shared" si="2"/>
        <v>Low</v>
      </c>
      <c r="M51" s="11">
        <f t="shared" si="3"/>
        <v>0.55909090909090897</v>
      </c>
    </row>
    <row r="52" spans="1:13">
      <c r="A52" s="1">
        <v>2022</v>
      </c>
      <c r="B52" s="1" t="s">
        <v>54</v>
      </c>
      <c r="C52" s="1" t="s">
        <v>55</v>
      </c>
      <c r="D52" s="12">
        <v>43228</v>
      </c>
      <c r="E52" s="1">
        <v>32</v>
      </c>
      <c r="F52" s="11">
        <v>123</v>
      </c>
      <c r="G52" s="11">
        <v>220</v>
      </c>
      <c r="H52" s="11">
        <v>160</v>
      </c>
      <c r="I52" s="11">
        <v>15000</v>
      </c>
      <c r="J52" s="11">
        <v>2.4</v>
      </c>
      <c r="K52" s="1" t="s">
        <v>56</v>
      </c>
      <c r="L52" s="1" t="str">
        <f t="shared" si="2"/>
        <v>Low</v>
      </c>
      <c r="M52" s="11">
        <f t="shared" si="3"/>
        <v>0.55909090909090897</v>
      </c>
    </row>
    <row r="53" spans="1:13">
      <c r="A53" s="1">
        <v>2023</v>
      </c>
      <c r="B53" s="1" t="s">
        <v>54</v>
      </c>
      <c r="C53" s="1" t="s">
        <v>55</v>
      </c>
      <c r="D53" s="12">
        <v>43228</v>
      </c>
      <c r="E53" s="1">
        <v>32</v>
      </c>
      <c r="F53" s="11">
        <v>123</v>
      </c>
      <c r="G53" s="11">
        <v>220</v>
      </c>
      <c r="H53" s="11">
        <v>155</v>
      </c>
      <c r="I53" s="11">
        <v>15000</v>
      </c>
      <c r="J53" s="11">
        <v>2.2999999999999998</v>
      </c>
      <c r="K53" s="1" t="s">
        <v>56</v>
      </c>
      <c r="L53" s="1" t="str">
        <f t="shared" si="2"/>
        <v>Low</v>
      </c>
      <c r="M53" s="11">
        <f t="shared" si="3"/>
        <v>0.55909090909090897</v>
      </c>
    </row>
    <row r="54" spans="1:13">
      <c r="A54" s="1">
        <v>2024</v>
      </c>
      <c r="B54" s="1" t="s">
        <v>54</v>
      </c>
      <c r="C54" s="1" t="s">
        <v>55</v>
      </c>
      <c r="D54" s="12">
        <v>43228</v>
      </c>
      <c r="E54" s="1">
        <v>32</v>
      </c>
      <c r="F54" s="11">
        <v>123</v>
      </c>
      <c r="G54" s="11">
        <v>220</v>
      </c>
      <c r="H54" s="11">
        <v>121</v>
      </c>
      <c r="I54" s="11">
        <v>15000</v>
      </c>
      <c r="J54" s="11">
        <v>1.8</v>
      </c>
      <c r="K54" s="1" t="s">
        <v>56</v>
      </c>
      <c r="L54" s="1" t="str">
        <f t="shared" si="2"/>
        <v>Low</v>
      </c>
      <c r="M54" s="11">
        <f t="shared" si="3"/>
        <v>0.55909090909090897</v>
      </c>
    </row>
    <row r="55" spans="1:13">
      <c r="A55" s="1">
        <v>2025</v>
      </c>
      <c r="B55" s="1" t="s">
        <v>54</v>
      </c>
      <c r="C55" s="1" t="s">
        <v>55</v>
      </c>
      <c r="D55" s="12">
        <v>43228</v>
      </c>
      <c r="E55" s="1">
        <v>32</v>
      </c>
      <c r="F55" s="11">
        <v>123</v>
      </c>
      <c r="G55" s="11">
        <v>220</v>
      </c>
      <c r="H55" s="11">
        <v>177</v>
      </c>
      <c r="I55" s="11">
        <v>15000</v>
      </c>
      <c r="J55" s="11">
        <v>2.7</v>
      </c>
      <c r="K55" s="1" t="s">
        <v>56</v>
      </c>
      <c r="L55" s="1" t="str">
        <f t="shared" si="2"/>
        <v>Low</v>
      </c>
      <c r="M55" s="11">
        <f t="shared" si="3"/>
        <v>0.55909090909090897</v>
      </c>
    </row>
    <row r="56" spans="1:13">
      <c r="A56" s="1">
        <v>2026</v>
      </c>
      <c r="B56" s="1" t="s">
        <v>54</v>
      </c>
      <c r="C56" s="1" t="s">
        <v>55</v>
      </c>
      <c r="D56" s="12">
        <v>43228</v>
      </c>
      <c r="E56" s="1">
        <v>32</v>
      </c>
      <c r="F56" s="11">
        <v>123</v>
      </c>
      <c r="G56" s="11">
        <v>220</v>
      </c>
      <c r="H56" s="11">
        <v>147</v>
      </c>
      <c r="I56" s="11">
        <v>15000</v>
      </c>
      <c r="J56" s="11">
        <v>2.2000000000000002</v>
      </c>
      <c r="K56" s="1" t="s">
        <v>56</v>
      </c>
      <c r="L56" s="1" t="str">
        <f t="shared" si="2"/>
        <v>Low</v>
      </c>
      <c r="M56" s="11">
        <f t="shared" si="3"/>
        <v>0.55909090909090897</v>
      </c>
    </row>
    <row r="57" spans="1:13">
      <c r="A57" s="1">
        <v>2021</v>
      </c>
      <c r="B57" s="1" t="s">
        <v>57</v>
      </c>
      <c r="C57" s="1" t="s">
        <v>55</v>
      </c>
      <c r="D57" s="12">
        <v>44334</v>
      </c>
      <c r="E57" s="1">
        <v>32</v>
      </c>
      <c r="F57" s="11">
        <v>275</v>
      </c>
      <c r="G57" s="11">
        <v>170</v>
      </c>
      <c r="H57" s="11">
        <v>148</v>
      </c>
      <c r="I57" s="11">
        <v>15000</v>
      </c>
      <c r="J57" s="11">
        <v>2.2000000000000002</v>
      </c>
      <c r="K57" s="1" t="s">
        <v>58</v>
      </c>
      <c r="L57" s="1" t="str">
        <f t="shared" si="2"/>
        <v>Low</v>
      </c>
      <c r="M57" s="11">
        <f t="shared" si="3"/>
        <v>1.6176470588235301</v>
      </c>
    </row>
    <row r="58" spans="1:13">
      <c r="A58" s="1">
        <v>2022</v>
      </c>
      <c r="B58" s="1" t="s">
        <v>57</v>
      </c>
      <c r="C58" s="1" t="s">
        <v>55</v>
      </c>
      <c r="D58" s="12">
        <v>44334</v>
      </c>
      <c r="E58" s="1">
        <v>32</v>
      </c>
      <c r="F58" s="11">
        <v>275</v>
      </c>
      <c r="G58" s="11">
        <v>170</v>
      </c>
      <c r="H58" s="11">
        <v>1195</v>
      </c>
      <c r="I58" s="11">
        <v>15000</v>
      </c>
      <c r="J58" s="11">
        <v>17.899999999999999</v>
      </c>
      <c r="K58" s="1" t="s">
        <v>58</v>
      </c>
      <c r="L58" s="1" t="str">
        <f t="shared" si="2"/>
        <v>Low</v>
      </c>
      <c r="M58" s="11">
        <f t="shared" si="3"/>
        <v>1.6176470588235301</v>
      </c>
    </row>
    <row r="59" spans="1:13">
      <c r="A59" s="1">
        <v>2023</v>
      </c>
      <c r="B59" s="1" t="s">
        <v>57</v>
      </c>
      <c r="C59" s="1" t="s">
        <v>55</v>
      </c>
      <c r="D59" s="12">
        <v>44334</v>
      </c>
      <c r="E59" s="1">
        <v>32</v>
      </c>
      <c r="F59" s="11">
        <v>275</v>
      </c>
      <c r="G59" s="11">
        <v>170</v>
      </c>
      <c r="H59" s="11">
        <v>878</v>
      </c>
      <c r="I59" s="11">
        <v>15000</v>
      </c>
      <c r="J59" s="11">
        <v>13.2</v>
      </c>
      <c r="K59" s="1" t="s">
        <v>58</v>
      </c>
      <c r="L59" s="1" t="str">
        <f t="shared" si="2"/>
        <v>Low</v>
      </c>
      <c r="M59" s="11">
        <f t="shared" si="3"/>
        <v>1.6176470588235301</v>
      </c>
    </row>
    <row r="60" spans="1:13">
      <c r="A60" s="1">
        <v>2024</v>
      </c>
      <c r="B60" s="1" t="s">
        <v>57</v>
      </c>
      <c r="C60" s="1" t="s">
        <v>55</v>
      </c>
      <c r="D60" s="12">
        <v>44334</v>
      </c>
      <c r="E60" s="1">
        <v>32</v>
      </c>
      <c r="F60" s="11">
        <v>275</v>
      </c>
      <c r="G60" s="11">
        <v>170</v>
      </c>
      <c r="H60" s="11">
        <v>330</v>
      </c>
      <c r="I60" s="11">
        <v>15000</v>
      </c>
      <c r="J60" s="11">
        <v>5</v>
      </c>
      <c r="K60" s="1" t="s">
        <v>58</v>
      </c>
      <c r="L60" s="1" t="str">
        <f t="shared" si="2"/>
        <v>Low</v>
      </c>
      <c r="M60" s="11">
        <f t="shared" si="3"/>
        <v>1.6176470588235301</v>
      </c>
    </row>
    <row r="61" spans="1:13">
      <c r="A61" s="1">
        <v>2025</v>
      </c>
      <c r="B61" s="1" t="s">
        <v>57</v>
      </c>
      <c r="C61" s="1" t="s">
        <v>55</v>
      </c>
      <c r="D61" s="12">
        <v>44334</v>
      </c>
      <c r="E61" s="1">
        <v>32</v>
      </c>
      <c r="F61" s="11">
        <v>275</v>
      </c>
      <c r="G61" s="11">
        <v>170</v>
      </c>
      <c r="H61" s="11">
        <v>195</v>
      </c>
      <c r="I61" s="11">
        <v>15000</v>
      </c>
      <c r="J61" s="11">
        <v>2.9</v>
      </c>
      <c r="K61" s="1" t="s">
        <v>58</v>
      </c>
      <c r="L61" s="1" t="str">
        <f t="shared" si="2"/>
        <v>Low</v>
      </c>
      <c r="M61" s="11">
        <f t="shared" si="3"/>
        <v>1.6176470588235301</v>
      </c>
    </row>
    <row r="62" spans="1:13">
      <c r="A62" s="1">
        <v>2026</v>
      </c>
      <c r="B62" s="1" t="s">
        <v>57</v>
      </c>
      <c r="C62" s="1" t="s">
        <v>55</v>
      </c>
      <c r="D62" s="12">
        <v>44334</v>
      </c>
      <c r="E62" s="1">
        <v>32</v>
      </c>
      <c r="F62" s="11">
        <v>275</v>
      </c>
      <c r="G62" s="11">
        <v>170</v>
      </c>
      <c r="H62" s="11">
        <v>165</v>
      </c>
      <c r="I62" s="11">
        <v>15000</v>
      </c>
      <c r="J62" s="11">
        <v>2.5</v>
      </c>
      <c r="K62" s="1" t="s">
        <v>58</v>
      </c>
      <c r="L62" s="1" t="str">
        <f t="shared" si="2"/>
        <v>Low</v>
      </c>
      <c r="M62" s="11">
        <f t="shared" si="3"/>
        <v>1.6176470588235301</v>
      </c>
    </row>
    <row r="63" spans="1:13">
      <c r="A63" s="1">
        <v>2023</v>
      </c>
      <c r="B63" s="1" t="s">
        <v>59</v>
      </c>
      <c r="C63" s="1" t="s">
        <v>55</v>
      </c>
      <c r="D63" s="12">
        <v>45167</v>
      </c>
      <c r="E63" s="1">
        <v>16</v>
      </c>
      <c r="F63" s="11">
        <v>197</v>
      </c>
      <c r="G63" s="11">
        <v>170</v>
      </c>
      <c r="H63" s="11">
        <v>59908</v>
      </c>
      <c r="I63" s="11">
        <v>15000</v>
      </c>
      <c r="J63" s="11">
        <v>898.6</v>
      </c>
      <c r="K63" s="1" t="s">
        <v>60</v>
      </c>
      <c r="L63" s="1" t="str">
        <f t="shared" si="2"/>
        <v>High</v>
      </c>
      <c r="M63" s="11">
        <f t="shared" si="3"/>
        <v>1.1588235294117599</v>
      </c>
    </row>
    <row r="64" spans="1:13">
      <c r="A64" s="1">
        <v>2024</v>
      </c>
      <c r="B64" s="1" t="s">
        <v>59</v>
      </c>
      <c r="C64" s="1" t="s">
        <v>55</v>
      </c>
      <c r="D64" s="12">
        <v>45167</v>
      </c>
      <c r="E64" s="1">
        <v>16</v>
      </c>
      <c r="F64" s="11">
        <v>197</v>
      </c>
      <c r="G64" s="11">
        <v>170</v>
      </c>
      <c r="H64" s="11">
        <v>761631</v>
      </c>
      <c r="I64" s="11">
        <v>15000</v>
      </c>
      <c r="J64" s="11">
        <v>11424.5</v>
      </c>
      <c r="K64" s="1" t="s">
        <v>60</v>
      </c>
      <c r="L64" s="1" t="str">
        <f t="shared" si="2"/>
        <v>High</v>
      </c>
      <c r="M64" s="11">
        <f t="shared" si="3"/>
        <v>1.1588235294117599</v>
      </c>
    </row>
    <row r="65" spans="1:13">
      <c r="A65" s="1">
        <v>2025</v>
      </c>
      <c r="B65" s="1" t="s">
        <v>59</v>
      </c>
      <c r="C65" s="1" t="s">
        <v>55</v>
      </c>
      <c r="D65" s="12">
        <v>45167</v>
      </c>
      <c r="E65" s="1">
        <v>16</v>
      </c>
      <c r="F65" s="11">
        <v>197</v>
      </c>
      <c r="G65" s="11">
        <v>170</v>
      </c>
      <c r="H65" s="11">
        <v>491607</v>
      </c>
      <c r="I65" s="11">
        <v>15000</v>
      </c>
      <c r="J65" s="11">
        <v>7374.1</v>
      </c>
      <c r="K65" s="1" t="s">
        <v>60</v>
      </c>
      <c r="L65" s="1" t="str">
        <f t="shared" si="2"/>
        <v>High</v>
      </c>
      <c r="M65" s="11">
        <f t="shared" si="3"/>
        <v>1.1588235294117599</v>
      </c>
    </row>
    <row r="66" spans="1:13">
      <c r="A66" s="1">
        <v>2026</v>
      </c>
      <c r="B66" s="1" t="s">
        <v>59</v>
      </c>
      <c r="C66" s="1" t="s">
        <v>55</v>
      </c>
      <c r="D66" s="12">
        <v>45167</v>
      </c>
      <c r="E66" s="1">
        <v>16</v>
      </c>
      <c r="F66" s="11">
        <v>197</v>
      </c>
      <c r="G66" s="11">
        <v>170</v>
      </c>
      <c r="H66" s="11">
        <v>238991</v>
      </c>
      <c r="I66" s="11">
        <v>15000</v>
      </c>
      <c r="J66" s="11">
        <v>3584.9</v>
      </c>
      <c r="K66" s="1" t="s">
        <v>60</v>
      </c>
      <c r="L66" s="1" t="str">
        <f t="shared" si="2"/>
        <v>High</v>
      </c>
      <c r="M66" s="11">
        <f t="shared" si="3"/>
        <v>1.1588235294117599</v>
      </c>
    </row>
    <row r="67" spans="1:13">
      <c r="A67" s="1">
        <v>2023</v>
      </c>
      <c r="B67" s="1" t="s">
        <v>61</v>
      </c>
      <c r="C67" s="1" t="s">
        <v>55</v>
      </c>
      <c r="D67" s="12">
        <v>45266</v>
      </c>
      <c r="E67" s="1">
        <v>96</v>
      </c>
      <c r="F67" s="11">
        <v>459</v>
      </c>
      <c r="G67" s="11">
        <v>170</v>
      </c>
      <c r="H67" s="11">
        <v>0</v>
      </c>
      <c r="I67" s="11">
        <v>0</v>
      </c>
      <c r="J67" s="11">
        <v>0</v>
      </c>
      <c r="K67" s="1" t="s">
        <v>62</v>
      </c>
      <c r="L67" s="1" t="str">
        <f t="shared" ref="L67:L98" si="4">IF(J67&gt;500,"High",IF(J67&gt;100,"Medium","Low"))</f>
        <v>Low</v>
      </c>
      <c r="M67" s="11">
        <f t="shared" ref="M67:M98" si="5">F67/G67</f>
        <v>2.7</v>
      </c>
    </row>
    <row r="68" spans="1:13">
      <c r="A68" s="1">
        <v>2024</v>
      </c>
      <c r="B68" s="1" t="s">
        <v>61</v>
      </c>
      <c r="C68" s="1" t="s">
        <v>55</v>
      </c>
      <c r="D68" s="12">
        <v>45266</v>
      </c>
      <c r="E68" s="1">
        <v>96</v>
      </c>
      <c r="F68" s="11">
        <v>459</v>
      </c>
      <c r="G68" s="11">
        <v>170</v>
      </c>
      <c r="H68" s="11">
        <v>272799</v>
      </c>
      <c r="I68" s="11">
        <v>0</v>
      </c>
      <c r="J68" s="11">
        <v>0</v>
      </c>
      <c r="K68" s="1" t="s">
        <v>62</v>
      </c>
      <c r="L68" s="1" t="str">
        <f t="shared" si="4"/>
        <v>Low</v>
      </c>
      <c r="M68" s="11">
        <f t="shared" si="5"/>
        <v>2.7</v>
      </c>
    </row>
    <row r="69" spans="1:13">
      <c r="A69" s="1">
        <v>2025</v>
      </c>
      <c r="B69" s="1" t="s">
        <v>61</v>
      </c>
      <c r="C69" s="1" t="s">
        <v>55</v>
      </c>
      <c r="D69" s="12">
        <v>45266</v>
      </c>
      <c r="E69" s="1">
        <v>96</v>
      </c>
      <c r="F69" s="11">
        <v>459</v>
      </c>
      <c r="G69" s="11">
        <v>170</v>
      </c>
      <c r="H69" s="11">
        <v>214821</v>
      </c>
      <c r="I69" s="11">
        <v>0</v>
      </c>
      <c r="J69" s="11">
        <v>0</v>
      </c>
      <c r="K69" s="1" t="s">
        <v>62</v>
      </c>
      <c r="L69" s="1" t="str">
        <f t="shared" si="4"/>
        <v>Low</v>
      </c>
      <c r="M69" s="11">
        <f t="shared" si="5"/>
        <v>2.7</v>
      </c>
    </row>
    <row r="70" spans="1:13">
      <c r="A70" s="1">
        <v>2026</v>
      </c>
      <c r="B70" s="1" t="s">
        <v>61</v>
      </c>
      <c r="C70" s="1" t="s">
        <v>55</v>
      </c>
      <c r="D70" s="12">
        <v>45266</v>
      </c>
      <c r="E70" s="1">
        <v>96</v>
      </c>
      <c r="F70" s="11">
        <v>459</v>
      </c>
      <c r="G70" s="11">
        <v>170</v>
      </c>
      <c r="H70" s="11">
        <v>100220</v>
      </c>
      <c r="I70" s="11">
        <v>0</v>
      </c>
      <c r="J70" s="11">
        <v>0</v>
      </c>
      <c r="K70" s="1" t="s">
        <v>62</v>
      </c>
      <c r="L70" s="1" t="str">
        <f t="shared" si="4"/>
        <v>Low</v>
      </c>
      <c r="M70" s="11">
        <f t="shared" si="5"/>
        <v>2.7</v>
      </c>
    </row>
    <row r="71" spans="1:13">
      <c r="A71" s="1">
        <v>2024</v>
      </c>
      <c r="B71" s="1" t="s">
        <v>63</v>
      </c>
      <c r="C71" s="1" t="s">
        <v>55</v>
      </c>
      <c r="D71" s="12">
        <v>45426</v>
      </c>
      <c r="E71" s="1">
        <v>32</v>
      </c>
      <c r="F71" s="11">
        <v>926</v>
      </c>
      <c r="G71" s="11">
        <v>200</v>
      </c>
      <c r="H71" s="11">
        <v>46633</v>
      </c>
      <c r="I71" s="11">
        <v>0</v>
      </c>
      <c r="J71" s="11">
        <v>0</v>
      </c>
      <c r="K71" s="1" t="s">
        <v>64</v>
      </c>
      <c r="L71" s="1" t="str">
        <f t="shared" si="4"/>
        <v>Low</v>
      </c>
      <c r="M71" s="11">
        <f t="shared" si="5"/>
        <v>4.63</v>
      </c>
    </row>
    <row r="72" spans="1:13">
      <c r="A72" s="1">
        <v>2025</v>
      </c>
      <c r="B72" s="1" t="s">
        <v>63</v>
      </c>
      <c r="C72" s="1" t="s">
        <v>55</v>
      </c>
      <c r="D72" s="12">
        <v>45426</v>
      </c>
      <c r="E72" s="1">
        <v>32</v>
      </c>
      <c r="F72" s="11">
        <v>926</v>
      </c>
      <c r="G72" s="11">
        <v>200</v>
      </c>
      <c r="H72" s="11">
        <v>305904</v>
      </c>
      <c r="I72" s="11">
        <v>0</v>
      </c>
      <c r="J72" s="11">
        <v>0</v>
      </c>
      <c r="K72" s="1" t="s">
        <v>64</v>
      </c>
      <c r="L72" s="1" t="str">
        <f t="shared" si="4"/>
        <v>Low</v>
      </c>
      <c r="M72" s="11">
        <f t="shared" si="5"/>
        <v>4.63</v>
      </c>
    </row>
    <row r="73" spans="1:13">
      <c r="A73" s="1">
        <v>2026</v>
      </c>
      <c r="B73" s="1" t="s">
        <v>63</v>
      </c>
      <c r="C73" s="1" t="s">
        <v>55</v>
      </c>
      <c r="D73" s="12">
        <v>45426</v>
      </c>
      <c r="E73" s="1">
        <v>32</v>
      </c>
      <c r="F73" s="11">
        <v>926</v>
      </c>
      <c r="G73" s="11">
        <v>200</v>
      </c>
      <c r="H73" s="11">
        <v>237500</v>
      </c>
      <c r="I73" s="11">
        <v>0</v>
      </c>
      <c r="J73" s="11">
        <v>0</v>
      </c>
      <c r="K73" s="1" t="s">
        <v>64</v>
      </c>
      <c r="L73" s="1" t="str">
        <f t="shared" si="4"/>
        <v>Low</v>
      </c>
      <c r="M73" s="11">
        <f t="shared" si="5"/>
        <v>4.63</v>
      </c>
    </row>
    <row r="74" spans="1:13">
      <c r="A74" s="1">
        <v>2025</v>
      </c>
      <c r="B74" s="1" t="s">
        <v>65</v>
      </c>
      <c r="C74" s="1" t="s">
        <v>55</v>
      </c>
      <c r="D74" s="12">
        <v>45992</v>
      </c>
      <c r="E74" s="1">
        <v>64</v>
      </c>
      <c r="F74" s="11">
        <v>1500</v>
      </c>
      <c r="G74" s="11">
        <v>300</v>
      </c>
      <c r="H74" s="11">
        <v>0</v>
      </c>
      <c r="I74" s="11">
        <v>15000</v>
      </c>
      <c r="J74" s="11">
        <v>0</v>
      </c>
      <c r="K74" s="1" t="s">
        <v>66</v>
      </c>
      <c r="L74" s="1" t="str">
        <f t="shared" si="4"/>
        <v>Low</v>
      </c>
      <c r="M74" s="11">
        <f t="shared" si="5"/>
        <v>5</v>
      </c>
    </row>
    <row r="75" spans="1:13">
      <c r="A75" s="1">
        <v>2026</v>
      </c>
      <c r="B75" s="1" t="s">
        <v>65</v>
      </c>
      <c r="C75" s="1" t="s">
        <v>55</v>
      </c>
      <c r="D75" s="12">
        <v>45992</v>
      </c>
      <c r="E75" s="1">
        <v>64</v>
      </c>
      <c r="F75" s="11">
        <v>1500</v>
      </c>
      <c r="G75" s="11">
        <v>300</v>
      </c>
      <c r="H75" s="11">
        <v>801</v>
      </c>
      <c r="I75" s="11">
        <v>15000</v>
      </c>
      <c r="J75" s="11">
        <v>12</v>
      </c>
      <c r="K75" s="1" t="s">
        <v>66</v>
      </c>
      <c r="L75" s="1" t="str">
        <f t="shared" si="4"/>
        <v>Low</v>
      </c>
      <c r="M75" s="11">
        <f t="shared" si="5"/>
        <v>5</v>
      </c>
    </row>
    <row r="76" spans="1:13">
      <c r="A76" s="1">
        <v>2024</v>
      </c>
      <c r="B76" s="1" t="s">
        <v>67</v>
      </c>
      <c r="C76" s="1" t="s">
        <v>68</v>
      </c>
      <c r="D76" s="12">
        <v>45629</v>
      </c>
      <c r="E76" s="1">
        <v>96</v>
      </c>
      <c r="F76" s="11">
        <v>650</v>
      </c>
      <c r="G76" s="11">
        <v>500</v>
      </c>
      <c r="H76" s="11">
        <v>0</v>
      </c>
      <c r="I76" s="11">
        <v>15000</v>
      </c>
      <c r="J76" s="11">
        <v>0</v>
      </c>
      <c r="K76" s="1" t="s">
        <v>69</v>
      </c>
      <c r="L76" s="1" t="str">
        <f t="shared" si="4"/>
        <v>Low</v>
      </c>
      <c r="M76" s="11">
        <f t="shared" si="5"/>
        <v>1.3</v>
      </c>
    </row>
    <row r="77" spans="1:13">
      <c r="A77" s="1">
        <v>2025</v>
      </c>
      <c r="B77" s="1" t="s">
        <v>67</v>
      </c>
      <c r="C77" s="1" t="s">
        <v>68</v>
      </c>
      <c r="D77" s="12">
        <v>45629</v>
      </c>
      <c r="E77" s="1">
        <v>96</v>
      </c>
      <c r="F77" s="11">
        <v>650</v>
      </c>
      <c r="G77" s="11">
        <v>500</v>
      </c>
      <c r="H77" s="11">
        <v>67686</v>
      </c>
      <c r="I77" s="11">
        <v>15000</v>
      </c>
      <c r="J77" s="11">
        <v>1015.3</v>
      </c>
      <c r="K77" s="1" t="s">
        <v>69</v>
      </c>
      <c r="L77" s="1" t="str">
        <f t="shared" si="4"/>
        <v>High</v>
      </c>
      <c r="M77" s="11">
        <f t="shared" si="5"/>
        <v>1.3</v>
      </c>
    </row>
    <row r="78" spans="1:13">
      <c r="A78" s="1">
        <v>2026</v>
      </c>
      <c r="B78" s="1" t="s">
        <v>67</v>
      </c>
      <c r="C78" s="1" t="s">
        <v>68</v>
      </c>
      <c r="D78" s="12">
        <v>45629</v>
      </c>
      <c r="E78" s="1">
        <v>96</v>
      </c>
      <c r="F78" s="11">
        <v>650</v>
      </c>
      <c r="G78" s="11">
        <v>500</v>
      </c>
      <c r="H78" s="11">
        <v>82503</v>
      </c>
      <c r="I78" s="11">
        <v>15000</v>
      </c>
      <c r="J78" s="11">
        <v>1237.5</v>
      </c>
      <c r="K78" s="1" t="s">
        <v>69</v>
      </c>
      <c r="L78" s="1" t="str">
        <f t="shared" si="4"/>
        <v>High</v>
      </c>
      <c r="M78" s="11">
        <f t="shared" si="5"/>
        <v>1.3</v>
      </c>
    </row>
    <row r="79" spans="1:13">
      <c r="A79" s="1">
        <v>2022</v>
      </c>
      <c r="B79" s="1" t="s">
        <v>70</v>
      </c>
      <c r="C79" s="1" t="s">
        <v>68</v>
      </c>
      <c r="D79" s="12">
        <v>44910</v>
      </c>
      <c r="E79" s="1">
        <v>32</v>
      </c>
      <c r="F79" s="11">
        <v>190</v>
      </c>
      <c r="G79" s="11">
        <v>175</v>
      </c>
      <c r="H79" s="11">
        <v>0</v>
      </c>
      <c r="I79" s="11">
        <v>15000</v>
      </c>
      <c r="J79" s="11">
        <v>0</v>
      </c>
      <c r="K79" s="1" t="s">
        <v>71</v>
      </c>
      <c r="L79" s="1" t="str">
        <f t="shared" si="4"/>
        <v>Low</v>
      </c>
      <c r="M79" s="11">
        <f t="shared" si="5"/>
        <v>1.0857142857142901</v>
      </c>
    </row>
    <row r="80" spans="1:13">
      <c r="A80" s="1">
        <v>2023</v>
      </c>
      <c r="B80" s="1" t="s">
        <v>70</v>
      </c>
      <c r="C80" s="1" t="s">
        <v>68</v>
      </c>
      <c r="D80" s="12">
        <v>44910</v>
      </c>
      <c r="E80" s="1">
        <v>32</v>
      </c>
      <c r="F80" s="11">
        <v>190</v>
      </c>
      <c r="G80" s="11">
        <v>175</v>
      </c>
      <c r="H80" s="11">
        <v>182522</v>
      </c>
      <c r="I80" s="11">
        <v>15000</v>
      </c>
      <c r="J80" s="11">
        <v>2737.8</v>
      </c>
      <c r="K80" s="1" t="s">
        <v>71</v>
      </c>
      <c r="L80" s="1" t="str">
        <f t="shared" si="4"/>
        <v>High</v>
      </c>
      <c r="M80" s="11">
        <f t="shared" si="5"/>
        <v>1.0857142857142901</v>
      </c>
    </row>
    <row r="81" spans="1:13">
      <c r="A81" s="1">
        <v>2024</v>
      </c>
      <c r="B81" s="1" t="s">
        <v>70</v>
      </c>
      <c r="C81" s="1" t="s">
        <v>68</v>
      </c>
      <c r="D81" s="12">
        <v>44910</v>
      </c>
      <c r="E81" s="1">
        <v>32</v>
      </c>
      <c r="F81" s="11">
        <v>190</v>
      </c>
      <c r="G81" s="11">
        <v>175</v>
      </c>
      <c r="H81" s="11">
        <v>111438</v>
      </c>
      <c r="I81" s="11">
        <v>15000</v>
      </c>
      <c r="J81" s="11">
        <v>1671.6</v>
      </c>
      <c r="K81" s="1" t="s">
        <v>71</v>
      </c>
      <c r="L81" s="1" t="str">
        <f t="shared" si="4"/>
        <v>High</v>
      </c>
      <c r="M81" s="11">
        <f t="shared" si="5"/>
        <v>1.0857142857142901</v>
      </c>
    </row>
    <row r="82" spans="1:13">
      <c r="A82" s="1">
        <v>2025</v>
      </c>
      <c r="B82" s="1" t="s">
        <v>70</v>
      </c>
      <c r="C82" s="1" t="s">
        <v>68</v>
      </c>
      <c r="D82" s="12">
        <v>44910</v>
      </c>
      <c r="E82" s="1">
        <v>32</v>
      </c>
      <c r="F82" s="11">
        <v>190</v>
      </c>
      <c r="G82" s="11">
        <v>175</v>
      </c>
      <c r="H82" s="11">
        <v>66238</v>
      </c>
      <c r="I82" s="11">
        <v>15000</v>
      </c>
      <c r="J82" s="11">
        <v>993.6</v>
      </c>
      <c r="K82" s="1" t="s">
        <v>71</v>
      </c>
      <c r="L82" s="1" t="str">
        <f t="shared" si="4"/>
        <v>High</v>
      </c>
      <c r="M82" s="11">
        <f t="shared" si="5"/>
        <v>1.0857142857142901</v>
      </c>
    </row>
    <row r="83" spans="1:13">
      <c r="A83" s="1">
        <v>2026</v>
      </c>
      <c r="B83" s="1" t="s">
        <v>70</v>
      </c>
      <c r="C83" s="1" t="s">
        <v>68</v>
      </c>
      <c r="D83" s="12">
        <v>44910</v>
      </c>
      <c r="E83" s="1">
        <v>32</v>
      </c>
      <c r="F83" s="11">
        <v>190</v>
      </c>
      <c r="G83" s="11">
        <v>175</v>
      </c>
      <c r="H83" s="11">
        <v>21199</v>
      </c>
      <c r="I83" s="11">
        <v>15000</v>
      </c>
      <c r="J83" s="11">
        <v>318</v>
      </c>
      <c r="K83" s="1" t="s">
        <v>71</v>
      </c>
      <c r="L83" s="1" t="str">
        <f t="shared" si="4"/>
        <v>Medium</v>
      </c>
      <c r="M83" s="11">
        <f t="shared" si="5"/>
        <v>1.0857142857142901</v>
      </c>
    </row>
    <row r="84" spans="1:13">
      <c r="A84" s="1">
        <v>2024</v>
      </c>
      <c r="B84" s="1" t="s">
        <v>72</v>
      </c>
      <c r="C84" s="1" t="s">
        <v>73</v>
      </c>
      <c r="D84" s="12">
        <v>45364</v>
      </c>
      <c r="E84" s="1">
        <v>0</v>
      </c>
      <c r="F84" s="11">
        <v>1250</v>
      </c>
      <c r="G84" s="11">
        <v>23000</v>
      </c>
      <c r="H84" s="11">
        <v>228</v>
      </c>
      <c r="I84" s="11">
        <v>2500000</v>
      </c>
      <c r="J84" s="11">
        <v>570</v>
      </c>
      <c r="K84" s="1" t="s">
        <v>74</v>
      </c>
      <c r="L84" s="1" t="str">
        <f t="shared" si="4"/>
        <v>High</v>
      </c>
      <c r="M84" s="11">
        <f t="shared" si="5"/>
        <v>5.4347826086956499E-2</v>
      </c>
    </row>
    <row r="85" spans="1:13">
      <c r="A85" s="1">
        <v>2025</v>
      </c>
      <c r="B85" s="1" t="s">
        <v>72</v>
      </c>
      <c r="C85" s="1" t="s">
        <v>73</v>
      </c>
      <c r="D85" s="12">
        <v>45364</v>
      </c>
      <c r="E85" s="1">
        <v>0</v>
      </c>
      <c r="F85" s="11">
        <v>1250</v>
      </c>
      <c r="G85" s="11">
        <v>23000</v>
      </c>
      <c r="H85" s="11">
        <v>1116</v>
      </c>
      <c r="I85" s="11">
        <v>2500000</v>
      </c>
      <c r="J85" s="11">
        <v>2790</v>
      </c>
      <c r="K85" s="1" t="s">
        <v>74</v>
      </c>
      <c r="L85" s="1" t="str">
        <f t="shared" si="4"/>
        <v>High</v>
      </c>
      <c r="M85" s="11">
        <f t="shared" si="5"/>
        <v>5.4347826086956499E-2</v>
      </c>
    </row>
    <row r="86" spans="1:13">
      <c r="A86" s="1">
        <v>2026</v>
      </c>
      <c r="B86" s="1" t="s">
        <v>72</v>
      </c>
      <c r="C86" s="1" t="s">
        <v>73</v>
      </c>
      <c r="D86" s="12">
        <v>45364</v>
      </c>
      <c r="E86" s="1">
        <v>0</v>
      </c>
      <c r="F86" s="11">
        <v>1250</v>
      </c>
      <c r="G86" s="11">
        <v>23000</v>
      </c>
      <c r="H86" s="11">
        <v>746</v>
      </c>
      <c r="I86" s="11">
        <v>2500000</v>
      </c>
      <c r="J86" s="11">
        <v>1865</v>
      </c>
      <c r="K86" s="1" t="s">
        <v>74</v>
      </c>
      <c r="L86" s="1" t="str">
        <f t="shared" si="4"/>
        <v>High</v>
      </c>
      <c r="M86" s="11">
        <f t="shared" si="5"/>
        <v>5.4347826086956499E-2</v>
      </c>
    </row>
    <row r="87" spans="1:13">
      <c r="A87" s="1">
        <v>2024</v>
      </c>
      <c r="B87" s="1" t="s">
        <v>75</v>
      </c>
      <c r="C87" s="1" t="s">
        <v>76</v>
      </c>
      <c r="D87" s="12">
        <v>45341</v>
      </c>
      <c r="E87" s="1">
        <v>230</v>
      </c>
      <c r="F87" s="11">
        <v>750</v>
      </c>
      <c r="G87" s="11">
        <v>350</v>
      </c>
      <c r="H87" s="11">
        <v>8709</v>
      </c>
      <c r="I87" s="11">
        <v>15000</v>
      </c>
      <c r="J87" s="11">
        <v>130.6</v>
      </c>
      <c r="K87" s="1" t="s">
        <v>77</v>
      </c>
      <c r="L87" s="1" t="str">
        <f t="shared" si="4"/>
        <v>Medium</v>
      </c>
      <c r="M87" s="11">
        <f t="shared" si="5"/>
        <v>2.1428571428571401</v>
      </c>
    </row>
    <row r="88" spans="1:13">
      <c r="A88" s="1">
        <v>2025</v>
      </c>
      <c r="B88" s="1" t="s">
        <v>75</v>
      </c>
      <c r="C88" s="1" t="s">
        <v>76</v>
      </c>
      <c r="D88" s="12">
        <v>45341</v>
      </c>
      <c r="E88" s="1">
        <v>230</v>
      </c>
      <c r="F88" s="11">
        <v>750</v>
      </c>
      <c r="G88" s="11">
        <v>350</v>
      </c>
      <c r="H88" s="11">
        <v>25845</v>
      </c>
      <c r="I88" s="11">
        <v>15000</v>
      </c>
      <c r="J88" s="11">
        <v>387.7</v>
      </c>
      <c r="K88" s="1" t="s">
        <v>77</v>
      </c>
      <c r="L88" s="1" t="str">
        <f t="shared" si="4"/>
        <v>Medium</v>
      </c>
      <c r="M88" s="11">
        <f t="shared" si="5"/>
        <v>2.1428571428571401</v>
      </c>
    </row>
    <row r="89" spans="1:13">
      <c r="A89" s="1">
        <v>2026</v>
      </c>
      <c r="B89" s="1" t="s">
        <v>75</v>
      </c>
      <c r="C89" s="1" t="s">
        <v>76</v>
      </c>
      <c r="D89" s="12">
        <v>45341</v>
      </c>
      <c r="E89" s="1">
        <v>230</v>
      </c>
      <c r="F89" s="11">
        <v>750</v>
      </c>
      <c r="G89" s="11">
        <v>350</v>
      </c>
      <c r="H89" s="11">
        <v>25084</v>
      </c>
      <c r="I89" s="11">
        <v>15000</v>
      </c>
      <c r="J89" s="11">
        <v>376.3</v>
      </c>
      <c r="K89" s="1" t="s">
        <v>77</v>
      </c>
      <c r="L89" s="1" t="str">
        <f t="shared" si="4"/>
        <v>Medium</v>
      </c>
      <c r="M89" s="11">
        <f t="shared" si="5"/>
        <v>2.1428571428571401</v>
      </c>
    </row>
    <row r="90" spans="1:13">
      <c r="A90" s="1">
        <v>2023</v>
      </c>
      <c r="B90" s="1" t="s">
        <v>78</v>
      </c>
      <c r="C90" s="1" t="s">
        <v>79</v>
      </c>
      <c r="D90" s="12">
        <v>45188</v>
      </c>
      <c r="E90" s="1">
        <v>1500</v>
      </c>
      <c r="F90" s="11">
        <v>510</v>
      </c>
      <c r="G90" s="11">
        <v>300</v>
      </c>
      <c r="H90" s="11">
        <v>258</v>
      </c>
      <c r="I90" s="11">
        <v>15000</v>
      </c>
      <c r="J90" s="11">
        <v>3.9</v>
      </c>
      <c r="K90" s="1" t="s">
        <v>80</v>
      </c>
      <c r="L90" s="1" t="str">
        <f t="shared" si="4"/>
        <v>Low</v>
      </c>
      <c r="M90" s="11">
        <f t="shared" si="5"/>
        <v>1.7</v>
      </c>
    </row>
    <row r="91" spans="1:13">
      <c r="A91" s="1">
        <v>2024</v>
      </c>
      <c r="B91" s="1" t="s">
        <v>78</v>
      </c>
      <c r="C91" s="1" t="s">
        <v>79</v>
      </c>
      <c r="D91" s="12">
        <v>45188</v>
      </c>
      <c r="E91" s="1">
        <v>1500</v>
      </c>
      <c r="F91" s="11">
        <v>510</v>
      </c>
      <c r="G91" s="11">
        <v>300</v>
      </c>
      <c r="H91" s="11">
        <v>3312</v>
      </c>
      <c r="I91" s="11">
        <v>15000</v>
      </c>
      <c r="J91" s="11">
        <v>49.7</v>
      </c>
      <c r="K91" s="1" t="s">
        <v>80</v>
      </c>
      <c r="L91" s="1" t="str">
        <f t="shared" si="4"/>
        <v>Low</v>
      </c>
      <c r="M91" s="11">
        <f t="shared" si="5"/>
        <v>1.7</v>
      </c>
    </row>
    <row r="92" spans="1:13">
      <c r="A92" s="1">
        <v>2025</v>
      </c>
      <c r="B92" s="1" t="s">
        <v>78</v>
      </c>
      <c r="C92" s="1" t="s">
        <v>79</v>
      </c>
      <c r="D92" s="12">
        <v>45188</v>
      </c>
      <c r="E92" s="1">
        <v>1500</v>
      </c>
      <c r="F92" s="11">
        <v>510</v>
      </c>
      <c r="G92" s="11">
        <v>300</v>
      </c>
      <c r="H92" s="11">
        <v>3199</v>
      </c>
      <c r="I92" s="11">
        <v>15000</v>
      </c>
      <c r="J92" s="11">
        <v>48</v>
      </c>
      <c r="K92" s="1" t="s">
        <v>80</v>
      </c>
      <c r="L92" s="1" t="str">
        <f t="shared" si="4"/>
        <v>Low</v>
      </c>
      <c r="M92" s="11">
        <f t="shared" si="5"/>
        <v>1.7</v>
      </c>
    </row>
    <row r="93" spans="1:13">
      <c r="A93" s="1">
        <v>2026</v>
      </c>
      <c r="B93" s="1" t="s">
        <v>78</v>
      </c>
      <c r="C93" s="1" t="s">
        <v>79</v>
      </c>
      <c r="D93" s="12">
        <v>45188</v>
      </c>
      <c r="E93" s="1">
        <v>1500</v>
      </c>
      <c r="F93" s="11">
        <v>510</v>
      </c>
      <c r="G93" s="11">
        <v>300</v>
      </c>
      <c r="H93" s="11">
        <v>1070</v>
      </c>
      <c r="I93" s="11">
        <v>15000</v>
      </c>
      <c r="J93" s="11">
        <v>16.100000000000001</v>
      </c>
      <c r="K93" s="1" t="s">
        <v>80</v>
      </c>
      <c r="L93" s="1" t="str">
        <f t="shared" si="4"/>
        <v>Low</v>
      </c>
      <c r="M93" s="11">
        <f t="shared" si="5"/>
        <v>1.7</v>
      </c>
    </row>
    <row r="94" spans="1:13">
      <c r="A94" s="1">
        <v>2024</v>
      </c>
      <c r="B94" s="1" t="s">
        <v>81</v>
      </c>
      <c r="C94" s="1" t="s">
        <v>82</v>
      </c>
      <c r="D94" s="12">
        <v>45530</v>
      </c>
      <c r="E94" s="1">
        <v>32</v>
      </c>
      <c r="F94" s="11">
        <v>745</v>
      </c>
      <c r="G94" s="11">
        <v>300</v>
      </c>
      <c r="H94" s="11">
        <v>81</v>
      </c>
      <c r="I94" s="11">
        <v>15000</v>
      </c>
      <c r="J94" s="11">
        <v>1.2</v>
      </c>
      <c r="K94" s="1" t="s">
        <v>83</v>
      </c>
      <c r="L94" s="1" t="str">
        <f t="shared" si="4"/>
        <v>Low</v>
      </c>
      <c r="M94" s="11">
        <f t="shared" si="5"/>
        <v>2.4833333333333298</v>
      </c>
    </row>
    <row r="95" spans="1:13">
      <c r="A95" s="1">
        <v>2025</v>
      </c>
      <c r="B95" s="1" t="s">
        <v>81</v>
      </c>
      <c r="C95" s="1" t="s">
        <v>82</v>
      </c>
      <c r="D95" s="12">
        <v>45530</v>
      </c>
      <c r="E95" s="1">
        <v>32</v>
      </c>
      <c r="F95" s="11">
        <v>745</v>
      </c>
      <c r="G95" s="11">
        <v>300</v>
      </c>
      <c r="H95" s="11">
        <v>861</v>
      </c>
      <c r="I95" s="11">
        <v>15000</v>
      </c>
      <c r="J95" s="11">
        <v>12.9</v>
      </c>
      <c r="K95" s="1" t="s">
        <v>83</v>
      </c>
      <c r="L95" s="1" t="str">
        <f t="shared" si="4"/>
        <v>Low</v>
      </c>
      <c r="M95" s="11">
        <f t="shared" si="5"/>
        <v>2.4833333333333298</v>
      </c>
    </row>
    <row r="96" spans="1:13">
      <c r="A96" s="1">
        <v>2026</v>
      </c>
      <c r="B96" s="1" t="s">
        <v>81</v>
      </c>
      <c r="C96" s="1" t="s">
        <v>82</v>
      </c>
      <c r="D96" s="12">
        <v>45530</v>
      </c>
      <c r="E96" s="1">
        <v>32</v>
      </c>
      <c r="F96" s="11">
        <v>745</v>
      </c>
      <c r="G96" s="11">
        <v>300</v>
      </c>
      <c r="H96" s="11">
        <v>883</v>
      </c>
      <c r="I96" s="11">
        <v>15000</v>
      </c>
      <c r="J96" s="11">
        <v>13.2</v>
      </c>
      <c r="K96" s="1" t="s">
        <v>83</v>
      </c>
      <c r="L96" s="1" t="str">
        <f t="shared" si="4"/>
        <v>Low</v>
      </c>
      <c r="M96" s="11">
        <f t="shared" si="5"/>
        <v>2.4833333333333298</v>
      </c>
    </row>
    <row r="97" spans="1:13">
      <c r="A97" s="1">
        <v>2020</v>
      </c>
      <c r="B97" s="1" t="s">
        <v>84</v>
      </c>
      <c r="C97" s="1" t="s">
        <v>85</v>
      </c>
      <c r="D97" s="12">
        <v>43700</v>
      </c>
      <c r="E97" s="1">
        <v>32</v>
      </c>
      <c r="F97" s="11">
        <v>256</v>
      </c>
      <c r="G97" s="11">
        <v>310</v>
      </c>
      <c r="H97" s="11">
        <v>1077</v>
      </c>
      <c r="I97" s="11">
        <v>15000</v>
      </c>
      <c r="J97" s="11">
        <v>16.2</v>
      </c>
      <c r="K97" s="1" t="s">
        <v>86</v>
      </c>
      <c r="L97" s="1" t="str">
        <f t="shared" si="4"/>
        <v>Low</v>
      </c>
      <c r="M97" s="11">
        <f t="shared" si="5"/>
        <v>0.825806451612903</v>
      </c>
    </row>
    <row r="98" spans="1:13">
      <c r="A98" s="1">
        <v>2021</v>
      </c>
      <c r="B98" s="1" t="s">
        <v>84</v>
      </c>
      <c r="C98" s="1" t="s">
        <v>85</v>
      </c>
      <c r="D98" s="12">
        <v>43700</v>
      </c>
      <c r="E98" s="1">
        <v>32</v>
      </c>
      <c r="F98" s="11">
        <v>256</v>
      </c>
      <c r="G98" s="11">
        <v>310</v>
      </c>
      <c r="H98" s="11">
        <v>812</v>
      </c>
      <c r="I98" s="11">
        <v>15000</v>
      </c>
      <c r="J98" s="11">
        <v>12.2</v>
      </c>
      <c r="K98" s="1" t="s">
        <v>86</v>
      </c>
      <c r="L98" s="1" t="str">
        <f t="shared" si="4"/>
        <v>Low</v>
      </c>
      <c r="M98" s="11">
        <f t="shared" si="5"/>
        <v>0.825806451612903</v>
      </c>
    </row>
    <row r="99" spans="1:13">
      <c r="A99" s="1">
        <v>2022</v>
      </c>
      <c r="B99" s="1" t="s">
        <v>84</v>
      </c>
      <c r="C99" s="1" t="s">
        <v>85</v>
      </c>
      <c r="D99" s="12">
        <v>43700</v>
      </c>
      <c r="E99" s="1">
        <v>32</v>
      </c>
      <c r="F99" s="11">
        <v>256</v>
      </c>
      <c r="G99" s="11">
        <v>310</v>
      </c>
      <c r="H99" s="11">
        <v>337</v>
      </c>
      <c r="I99" s="11">
        <v>15000</v>
      </c>
      <c r="J99" s="11">
        <v>5.0999999999999996</v>
      </c>
      <c r="K99" s="1" t="s">
        <v>86</v>
      </c>
      <c r="L99" s="1" t="str">
        <f t="shared" ref="L99:L121" si="6">IF(J99&gt;500,"High",IF(J99&gt;100,"Medium","Low"))</f>
        <v>Low</v>
      </c>
      <c r="M99" s="11">
        <f t="shared" ref="M99:M121" si="7">F99/G99</f>
        <v>0.825806451612903</v>
      </c>
    </row>
    <row r="100" spans="1:13">
      <c r="A100" s="1">
        <v>2023</v>
      </c>
      <c r="B100" s="1" t="s">
        <v>84</v>
      </c>
      <c r="C100" s="1" t="s">
        <v>85</v>
      </c>
      <c r="D100" s="12">
        <v>43700</v>
      </c>
      <c r="E100" s="1">
        <v>32</v>
      </c>
      <c r="F100" s="11">
        <v>256</v>
      </c>
      <c r="G100" s="11">
        <v>310</v>
      </c>
      <c r="H100" s="11">
        <v>168</v>
      </c>
      <c r="I100" s="11">
        <v>15000</v>
      </c>
      <c r="J100" s="11">
        <v>2.5</v>
      </c>
      <c r="K100" s="1" t="s">
        <v>86</v>
      </c>
      <c r="L100" s="1" t="str">
        <f t="shared" si="6"/>
        <v>Low</v>
      </c>
      <c r="M100" s="11">
        <f t="shared" si="7"/>
        <v>0.825806451612903</v>
      </c>
    </row>
    <row r="101" spans="1:13">
      <c r="A101" s="1">
        <v>2024</v>
      </c>
      <c r="B101" s="1" t="s">
        <v>84</v>
      </c>
      <c r="C101" s="1" t="s">
        <v>85</v>
      </c>
      <c r="D101" s="12">
        <v>43700</v>
      </c>
      <c r="E101" s="1">
        <v>32</v>
      </c>
      <c r="F101" s="11">
        <v>256</v>
      </c>
      <c r="G101" s="11">
        <v>310</v>
      </c>
      <c r="H101" s="11">
        <v>124</v>
      </c>
      <c r="I101" s="11">
        <v>15000</v>
      </c>
      <c r="J101" s="11">
        <v>1.9</v>
      </c>
      <c r="K101" s="1" t="s">
        <v>86</v>
      </c>
      <c r="L101" s="1" t="str">
        <f t="shared" si="6"/>
        <v>Low</v>
      </c>
      <c r="M101" s="11">
        <f t="shared" si="7"/>
        <v>0.825806451612903</v>
      </c>
    </row>
    <row r="102" spans="1:13">
      <c r="A102" s="1">
        <v>2025</v>
      </c>
      <c r="B102" s="1" t="s">
        <v>84</v>
      </c>
      <c r="C102" s="1" t="s">
        <v>85</v>
      </c>
      <c r="D102" s="12">
        <v>43700</v>
      </c>
      <c r="E102" s="1">
        <v>32</v>
      </c>
      <c r="F102" s="11">
        <v>256</v>
      </c>
      <c r="G102" s="11">
        <v>310</v>
      </c>
      <c r="H102" s="11">
        <v>178</v>
      </c>
      <c r="I102" s="11">
        <v>15000</v>
      </c>
      <c r="J102" s="11">
        <v>2.7</v>
      </c>
      <c r="K102" s="1" t="s">
        <v>86</v>
      </c>
      <c r="L102" s="1" t="str">
        <f t="shared" si="6"/>
        <v>Low</v>
      </c>
      <c r="M102" s="11">
        <f t="shared" si="7"/>
        <v>0.825806451612903</v>
      </c>
    </row>
    <row r="103" spans="1:13">
      <c r="A103" s="1">
        <v>2026</v>
      </c>
      <c r="B103" s="1" t="s">
        <v>84</v>
      </c>
      <c r="C103" s="1" t="s">
        <v>85</v>
      </c>
      <c r="D103" s="12">
        <v>43700</v>
      </c>
      <c r="E103" s="1">
        <v>32</v>
      </c>
      <c r="F103" s="11">
        <v>256</v>
      </c>
      <c r="G103" s="11">
        <v>310</v>
      </c>
      <c r="H103" s="11">
        <v>230</v>
      </c>
      <c r="I103" s="11">
        <v>15000</v>
      </c>
      <c r="J103" s="11">
        <v>3.5</v>
      </c>
      <c r="K103" s="1" t="s">
        <v>86</v>
      </c>
      <c r="L103" s="1" t="str">
        <f t="shared" si="6"/>
        <v>Low</v>
      </c>
      <c r="M103" s="11">
        <f t="shared" si="7"/>
        <v>0.825806451612903</v>
      </c>
    </row>
    <row r="104" spans="1:13">
      <c r="A104" s="1">
        <v>2023</v>
      </c>
      <c r="B104" s="1" t="s">
        <v>87</v>
      </c>
      <c r="C104" s="1" t="s">
        <v>85</v>
      </c>
      <c r="D104" s="12">
        <v>45167</v>
      </c>
      <c r="E104" s="1">
        <v>64</v>
      </c>
      <c r="F104" s="11">
        <v>512</v>
      </c>
      <c r="G104" s="11">
        <v>392</v>
      </c>
      <c r="H104" s="11">
        <v>31695</v>
      </c>
      <c r="I104" s="11">
        <v>15000</v>
      </c>
      <c r="J104" s="11">
        <v>475.4</v>
      </c>
      <c r="K104" s="1" t="s">
        <v>88</v>
      </c>
      <c r="L104" s="1" t="str">
        <f t="shared" si="6"/>
        <v>Medium</v>
      </c>
      <c r="M104" s="11">
        <f t="shared" si="7"/>
        <v>1.30612244897959</v>
      </c>
    </row>
    <row r="105" spans="1:13">
      <c r="A105" s="1">
        <v>2024</v>
      </c>
      <c r="B105" s="1" t="s">
        <v>87</v>
      </c>
      <c r="C105" s="1" t="s">
        <v>85</v>
      </c>
      <c r="D105" s="12">
        <v>45167</v>
      </c>
      <c r="E105" s="1">
        <v>64</v>
      </c>
      <c r="F105" s="11">
        <v>512</v>
      </c>
      <c r="G105" s="11">
        <v>392</v>
      </c>
      <c r="H105" s="11">
        <v>327421</v>
      </c>
      <c r="I105" s="11">
        <v>15000</v>
      </c>
      <c r="J105" s="11">
        <v>4911.3</v>
      </c>
      <c r="K105" s="1" t="s">
        <v>88</v>
      </c>
      <c r="L105" s="1" t="str">
        <f t="shared" si="6"/>
        <v>High</v>
      </c>
      <c r="M105" s="11">
        <f t="shared" si="7"/>
        <v>1.30612244897959</v>
      </c>
    </row>
    <row r="106" spans="1:13">
      <c r="A106" s="1">
        <v>2025</v>
      </c>
      <c r="B106" s="1" t="s">
        <v>87</v>
      </c>
      <c r="C106" s="1" t="s">
        <v>85</v>
      </c>
      <c r="D106" s="12">
        <v>45167</v>
      </c>
      <c r="E106" s="1">
        <v>64</v>
      </c>
      <c r="F106" s="11">
        <v>512</v>
      </c>
      <c r="G106" s="11">
        <v>392</v>
      </c>
      <c r="H106" s="11">
        <v>222897</v>
      </c>
      <c r="I106" s="11">
        <v>15000</v>
      </c>
      <c r="J106" s="11">
        <v>3343.5</v>
      </c>
      <c r="K106" s="1" t="s">
        <v>88</v>
      </c>
      <c r="L106" s="1" t="str">
        <f t="shared" si="6"/>
        <v>High</v>
      </c>
      <c r="M106" s="11">
        <f t="shared" si="7"/>
        <v>1.30612244897959</v>
      </c>
    </row>
    <row r="107" spans="1:13">
      <c r="A107" s="1">
        <v>2026</v>
      </c>
      <c r="B107" s="1" t="s">
        <v>87</v>
      </c>
      <c r="C107" s="1" t="s">
        <v>85</v>
      </c>
      <c r="D107" s="12">
        <v>45167</v>
      </c>
      <c r="E107" s="1">
        <v>64</v>
      </c>
      <c r="F107" s="11">
        <v>512</v>
      </c>
      <c r="G107" s="11">
        <v>392</v>
      </c>
      <c r="H107" s="11">
        <v>91465</v>
      </c>
      <c r="I107" s="11">
        <v>15000</v>
      </c>
      <c r="J107" s="11">
        <v>1372</v>
      </c>
      <c r="K107" s="1" t="s">
        <v>88</v>
      </c>
      <c r="L107" s="1" t="str">
        <f t="shared" si="6"/>
        <v>High</v>
      </c>
      <c r="M107" s="11">
        <f t="shared" si="7"/>
        <v>1.30612244897959</v>
      </c>
    </row>
    <row r="108" spans="1:13">
      <c r="A108" s="1">
        <v>2024</v>
      </c>
      <c r="B108" s="1" t="s">
        <v>89</v>
      </c>
      <c r="C108" s="1" t="s">
        <v>85</v>
      </c>
      <c r="D108" s="12">
        <v>45550</v>
      </c>
      <c r="E108" s="1">
        <v>64</v>
      </c>
      <c r="F108" s="11">
        <v>800</v>
      </c>
      <c r="G108" s="11">
        <v>450</v>
      </c>
      <c r="H108" s="11">
        <v>3425</v>
      </c>
      <c r="I108" s="11">
        <v>20000</v>
      </c>
      <c r="J108" s="11">
        <v>68.5</v>
      </c>
      <c r="K108" s="1" t="s">
        <v>90</v>
      </c>
      <c r="L108" s="1" t="str">
        <f t="shared" si="6"/>
        <v>Low</v>
      </c>
      <c r="M108" s="11">
        <f t="shared" si="7"/>
        <v>1.7777777777777799</v>
      </c>
    </row>
    <row r="109" spans="1:13">
      <c r="A109" s="1">
        <v>2025</v>
      </c>
      <c r="B109" s="1" t="s">
        <v>89</v>
      </c>
      <c r="C109" s="1" t="s">
        <v>85</v>
      </c>
      <c r="D109" s="12">
        <v>45550</v>
      </c>
      <c r="E109" s="1">
        <v>64</v>
      </c>
      <c r="F109" s="11">
        <v>800</v>
      </c>
      <c r="G109" s="11">
        <v>450</v>
      </c>
      <c r="H109" s="11">
        <v>42439</v>
      </c>
      <c r="I109" s="11">
        <v>20000</v>
      </c>
      <c r="J109" s="11">
        <v>848.8</v>
      </c>
      <c r="K109" s="1" t="s">
        <v>90</v>
      </c>
      <c r="L109" s="1" t="str">
        <f t="shared" si="6"/>
        <v>High</v>
      </c>
      <c r="M109" s="11">
        <f t="shared" si="7"/>
        <v>1.7777777777777799</v>
      </c>
    </row>
    <row r="110" spans="1:13">
      <c r="A110" s="1">
        <v>2026</v>
      </c>
      <c r="B110" s="1" t="s">
        <v>89</v>
      </c>
      <c r="C110" s="1" t="s">
        <v>85</v>
      </c>
      <c r="D110" s="12">
        <v>45550</v>
      </c>
      <c r="E110" s="1">
        <v>64</v>
      </c>
      <c r="F110" s="11">
        <v>800</v>
      </c>
      <c r="G110" s="11">
        <v>450</v>
      </c>
      <c r="H110" s="11">
        <v>32195</v>
      </c>
      <c r="I110" s="11">
        <v>20000</v>
      </c>
      <c r="J110" s="11">
        <v>643.9</v>
      </c>
      <c r="K110" s="1" t="s">
        <v>90</v>
      </c>
      <c r="L110" s="1" t="str">
        <f t="shared" si="6"/>
        <v>High</v>
      </c>
      <c r="M110" s="11">
        <f t="shared" si="7"/>
        <v>1.7777777777777799</v>
      </c>
    </row>
    <row r="111" spans="1:13">
      <c r="A111" s="1">
        <v>2021</v>
      </c>
      <c r="B111" s="1" t="s">
        <v>91</v>
      </c>
      <c r="C111" s="1" t="s">
        <v>92</v>
      </c>
      <c r="D111" s="12">
        <v>44515</v>
      </c>
      <c r="E111" s="1">
        <v>16</v>
      </c>
      <c r="F111" s="11">
        <v>256</v>
      </c>
      <c r="G111" s="11">
        <v>250</v>
      </c>
      <c r="H111" s="11">
        <v>32</v>
      </c>
      <c r="I111" s="11">
        <v>15000</v>
      </c>
      <c r="J111" s="11">
        <v>0.5</v>
      </c>
      <c r="K111" s="1" t="s">
        <v>93</v>
      </c>
      <c r="L111" s="1" t="str">
        <f t="shared" si="6"/>
        <v>Low</v>
      </c>
      <c r="M111" s="11">
        <f t="shared" si="7"/>
        <v>1.024</v>
      </c>
    </row>
    <row r="112" spans="1:13">
      <c r="A112" s="1">
        <v>2022</v>
      </c>
      <c r="B112" s="1" t="s">
        <v>91</v>
      </c>
      <c r="C112" s="1" t="s">
        <v>92</v>
      </c>
      <c r="D112" s="12">
        <v>44515</v>
      </c>
      <c r="E112" s="1">
        <v>16</v>
      </c>
      <c r="F112" s="11">
        <v>256</v>
      </c>
      <c r="G112" s="11">
        <v>250</v>
      </c>
      <c r="H112" s="11">
        <v>1041</v>
      </c>
      <c r="I112" s="11">
        <v>15000</v>
      </c>
      <c r="J112" s="11">
        <v>15.6</v>
      </c>
      <c r="K112" s="1" t="s">
        <v>93</v>
      </c>
      <c r="L112" s="1" t="str">
        <f t="shared" si="6"/>
        <v>Low</v>
      </c>
      <c r="M112" s="11">
        <f t="shared" si="7"/>
        <v>1.024</v>
      </c>
    </row>
    <row r="113" spans="1:13">
      <c r="A113" s="1">
        <v>2023</v>
      </c>
      <c r="B113" s="1" t="s">
        <v>91</v>
      </c>
      <c r="C113" s="1" t="s">
        <v>92</v>
      </c>
      <c r="D113" s="12">
        <v>44515</v>
      </c>
      <c r="E113" s="1">
        <v>16</v>
      </c>
      <c r="F113" s="11">
        <v>256</v>
      </c>
      <c r="G113" s="11">
        <v>250</v>
      </c>
      <c r="H113" s="11">
        <v>846</v>
      </c>
      <c r="I113" s="11">
        <v>15000</v>
      </c>
      <c r="J113" s="11">
        <v>12.7</v>
      </c>
      <c r="K113" s="1" t="s">
        <v>93</v>
      </c>
      <c r="L113" s="1" t="str">
        <f t="shared" si="6"/>
        <v>Low</v>
      </c>
      <c r="M113" s="11">
        <f t="shared" si="7"/>
        <v>1.024</v>
      </c>
    </row>
    <row r="114" spans="1:13">
      <c r="A114" s="1">
        <v>2024</v>
      </c>
      <c r="B114" s="1" t="s">
        <v>91</v>
      </c>
      <c r="C114" s="1" t="s">
        <v>92</v>
      </c>
      <c r="D114" s="12">
        <v>44515</v>
      </c>
      <c r="E114" s="1">
        <v>16</v>
      </c>
      <c r="F114" s="11">
        <v>256</v>
      </c>
      <c r="G114" s="11">
        <v>250</v>
      </c>
      <c r="H114" s="11">
        <v>381</v>
      </c>
      <c r="I114" s="11">
        <v>15000</v>
      </c>
      <c r="J114" s="11">
        <v>5.7</v>
      </c>
      <c r="K114" s="1" t="s">
        <v>93</v>
      </c>
      <c r="L114" s="1" t="str">
        <f t="shared" si="6"/>
        <v>Low</v>
      </c>
      <c r="M114" s="11">
        <f t="shared" si="7"/>
        <v>1.024</v>
      </c>
    </row>
    <row r="115" spans="1:13">
      <c r="A115" s="1">
        <v>2025</v>
      </c>
      <c r="B115" s="1" t="s">
        <v>91</v>
      </c>
      <c r="C115" s="1" t="s">
        <v>92</v>
      </c>
      <c r="D115" s="12">
        <v>44515</v>
      </c>
      <c r="E115" s="1">
        <v>16</v>
      </c>
      <c r="F115" s="11">
        <v>256</v>
      </c>
      <c r="G115" s="11">
        <v>250</v>
      </c>
      <c r="H115" s="11">
        <v>146</v>
      </c>
      <c r="I115" s="11">
        <v>15000</v>
      </c>
      <c r="J115" s="11">
        <v>2.2000000000000002</v>
      </c>
      <c r="K115" s="1" t="s">
        <v>93</v>
      </c>
      <c r="L115" s="1" t="str">
        <f t="shared" si="6"/>
        <v>Low</v>
      </c>
      <c r="M115" s="11">
        <f t="shared" si="7"/>
        <v>1.024</v>
      </c>
    </row>
    <row r="116" spans="1:13">
      <c r="A116" s="1">
        <v>2026</v>
      </c>
      <c r="B116" s="1" t="s">
        <v>91</v>
      </c>
      <c r="C116" s="1" t="s">
        <v>92</v>
      </c>
      <c r="D116" s="12">
        <v>44515</v>
      </c>
      <c r="E116" s="1">
        <v>16</v>
      </c>
      <c r="F116" s="11">
        <v>256</v>
      </c>
      <c r="G116" s="11">
        <v>250</v>
      </c>
      <c r="H116" s="11">
        <v>173</v>
      </c>
      <c r="I116" s="11">
        <v>15000</v>
      </c>
      <c r="J116" s="11">
        <v>2.6</v>
      </c>
      <c r="K116" s="1" t="s">
        <v>93</v>
      </c>
      <c r="L116" s="1" t="str">
        <f t="shared" si="6"/>
        <v>Low</v>
      </c>
      <c r="M116" s="11">
        <f t="shared" si="7"/>
        <v>1.024</v>
      </c>
    </row>
    <row r="117" spans="1:13">
      <c r="A117" s="1">
        <v>2024</v>
      </c>
      <c r="B117" s="1" t="s">
        <v>94</v>
      </c>
      <c r="C117" s="1" t="s">
        <v>95</v>
      </c>
      <c r="D117" s="12">
        <v>45419</v>
      </c>
      <c r="E117" s="1">
        <v>16</v>
      </c>
      <c r="F117" s="11">
        <v>38</v>
      </c>
      <c r="G117" s="11">
        <v>23</v>
      </c>
      <c r="H117" s="11">
        <v>174</v>
      </c>
      <c r="I117" s="11">
        <v>15000</v>
      </c>
      <c r="J117" s="11">
        <v>2.6</v>
      </c>
      <c r="K117" s="1" t="s">
        <v>96</v>
      </c>
      <c r="L117" s="1" t="str">
        <f t="shared" si="6"/>
        <v>Low</v>
      </c>
      <c r="M117" s="11">
        <f t="shared" si="7"/>
        <v>1.65217391304348</v>
      </c>
    </row>
    <row r="118" spans="1:13">
      <c r="A118" s="1">
        <v>2025</v>
      </c>
      <c r="B118" s="1" t="s">
        <v>94</v>
      </c>
      <c r="C118" s="1" t="s">
        <v>95</v>
      </c>
      <c r="D118" s="12">
        <v>45419</v>
      </c>
      <c r="E118" s="1">
        <v>16</v>
      </c>
      <c r="F118" s="11">
        <v>38</v>
      </c>
      <c r="G118" s="11">
        <v>23</v>
      </c>
      <c r="H118" s="11">
        <v>1082</v>
      </c>
      <c r="I118" s="11">
        <v>15000</v>
      </c>
      <c r="J118" s="11">
        <v>16.2</v>
      </c>
      <c r="K118" s="1" t="s">
        <v>96</v>
      </c>
      <c r="L118" s="1" t="str">
        <f t="shared" si="6"/>
        <v>Low</v>
      </c>
      <c r="M118" s="11">
        <f t="shared" si="7"/>
        <v>1.65217391304348</v>
      </c>
    </row>
    <row r="119" spans="1:13">
      <c r="A119" s="1">
        <v>2026</v>
      </c>
      <c r="B119" s="1" t="s">
        <v>94</v>
      </c>
      <c r="C119" s="1" t="s">
        <v>95</v>
      </c>
      <c r="D119" s="12">
        <v>45419</v>
      </c>
      <c r="E119" s="1">
        <v>16</v>
      </c>
      <c r="F119" s="11">
        <v>38</v>
      </c>
      <c r="G119" s="11">
        <v>23</v>
      </c>
      <c r="H119" s="11">
        <v>776</v>
      </c>
      <c r="I119" s="11">
        <v>15000</v>
      </c>
      <c r="J119" s="11">
        <v>11.6</v>
      </c>
      <c r="K119" s="1" t="s">
        <v>96</v>
      </c>
      <c r="L119" s="1" t="str">
        <f t="shared" si="6"/>
        <v>Low</v>
      </c>
      <c r="M119" s="11">
        <f t="shared" si="7"/>
        <v>1.65217391304348</v>
      </c>
    </row>
    <row r="120" spans="1:13">
      <c r="A120" s="1">
        <v>2025</v>
      </c>
      <c r="B120" s="1" t="s">
        <v>97</v>
      </c>
      <c r="C120" s="1" t="s">
        <v>95</v>
      </c>
      <c r="D120" s="12">
        <v>45960</v>
      </c>
      <c r="E120" s="1">
        <v>16</v>
      </c>
      <c r="F120" s="11">
        <v>60</v>
      </c>
      <c r="G120" s="11">
        <v>28</v>
      </c>
      <c r="H120" s="11">
        <v>47</v>
      </c>
      <c r="I120" s="11">
        <v>15000</v>
      </c>
      <c r="J120" s="11">
        <v>0.7</v>
      </c>
      <c r="K120" s="1" t="s">
        <v>98</v>
      </c>
      <c r="L120" s="1" t="str">
        <f t="shared" si="6"/>
        <v>Low</v>
      </c>
      <c r="M120" s="11">
        <f t="shared" si="7"/>
        <v>2.1428571428571401</v>
      </c>
    </row>
    <row r="121" spans="1:13">
      <c r="A121" s="1">
        <v>2026</v>
      </c>
      <c r="B121" s="1" t="s">
        <v>97</v>
      </c>
      <c r="C121" s="1" t="s">
        <v>95</v>
      </c>
      <c r="D121" s="12">
        <v>45960</v>
      </c>
      <c r="E121" s="1">
        <v>16</v>
      </c>
      <c r="F121" s="11">
        <v>60</v>
      </c>
      <c r="G121" s="11">
        <v>28</v>
      </c>
      <c r="H121" s="11">
        <v>809</v>
      </c>
      <c r="I121" s="11">
        <v>15000</v>
      </c>
      <c r="J121" s="11">
        <v>12.1</v>
      </c>
      <c r="K121" s="1" t="s">
        <v>98</v>
      </c>
      <c r="L121" s="1" t="str">
        <f t="shared" si="6"/>
        <v>Low</v>
      </c>
      <c r="M121" s="11">
        <f t="shared" si="7"/>
        <v>2.1428571428571401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618"/>
  <sheetViews>
    <sheetView topLeftCell="A2" workbookViewId="0">
      <selection activeCell="A2" sqref="A2"/>
    </sheetView>
  </sheetViews>
  <sheetFormatPr defaultColWidth="8.88671875" defaultRowHeight="14.4"/>
  <cols>
    <col min="1" max="1" width="8.88671875" style="1"/>
    <col min="2" max="2" width="15.77734375" style="1" customWidth="1"/>
    <col min="3" max="3" width="8.88671875" style="1"/>
    <col min="4" max="4" width="18.33203125" style="1" customWidth="1"/>
    <col min="5" max="5" width="11.33203125" style="1" customWidth="1"/>
    <col min="6" max="6" width="19.5546875" style="1" customWidth="1"/>
    <col min="7" max="7" width="27.5546875" style="1" customWidth="1"/>
    <col min="8" max="8" width="23.6640625" style="1" customWidth="1"/>
    <col min="9" max="9" width="18.33203125" style="1" customWidth="1"/>
    <col min="10" max="10" width="14.33203125" style="1" customWidth="1"/>
    <col min="11" max="11" width="8.88671875" style="1"/>
    <col min="12" max="12" width="15.33203125" style="1" customWidth="1"/>
    <col min="13" max="13" width="17.5546875" style="1" customWidth="1"/>
    <col min="14" max="14" width="14.33203125" style="1" customWidth="1"/>
  </cols>
  <sheetData>
    <row r="1" spans="1:14">
      <c r="A1" s="6" t="s">
        <v>15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  <c r="H1" s="6" t="s">
        <v>105</v>
      </c>
      <c r="I1" s="6" t="s">
        <v>106</v>
      </c>
      <c r="J1" s="6" t="s">
        <v>107</v>
      </c>
      <c r="K1" s="7" t="s">
        <v>108</v>
      </c>
      <c r="L1" s="7" t="s">
        <v>109</v>
      </c>
      <c r="M1" s="7" t="s">
        <v>110</v>
      </c>
      <c r="N1" s="7" t="s">
        <v>111</v>
      </c>
    </row>
    <row r="2" spans="1:14">
      <c r="A2" s="8">
        <v>2010</v>
      </c>
      <c r="B2" s="8" t="s">
        <v>112</v>
      </c>
      <c r="C2" s="8" t="s">
        <v>113</v>
      </c>
      <c r="D2" s="8" t="s">
        <v>114</v>
      </c>
      <c r="E2" s="8" t="s">
        <v>115</v>
      </c>
      <c r="F2" s="8">
        <v>13.42</v>
      </c>
      <c r="G2" s="8">
        <v>36.9</v>
      </c>
      <c r="H2" s="8">
        <v>4.95</v>
      </c>
      <c r="I2" s="8">
        <v>1.07</v>
      </c>
      <c r="J2" s="8">
        <v>6.04</v>
      </c>
      <c r="K2" s="2" t="str">
        <f>IF(A2&gt;=2025,"Forecast","Actual")</f>
        <v>Actual</v>
      </c>
      <c r="L2" s="1">
        <f>IF(F2=0,0,I2/F2*100)</f>
        <v>7.9731743666169903</v>
      </c>
      <c r="M2" s="1">
        <f>IF(F2=0,0,J2/F2*100)</f>
        <v>45.0074515648286</v>
      </c>
      <c r="N2" s="1" t="str">
        <f>IF(LEFT(E2,7)="fabless","Fabless",IF(LEFT(E2,9)="equipment","Equipment",IF(E2="foundry","Manufacturer",IF(LEFT(E2,3)="idm","Manufacturer",IF(E2="eda_software","EDA Software","Other")))))</f>
        <v>Manufacturer</v>
      </c>
    </row>
    <row r="3" spans="1:14">
      <c r="A3" s="8">
        <v>2011</v>
      </c>
      <c r="B3" s="8" t="s">
        <v>112</v>
      </c>
      <c r="C3" s="8" t="s">
        <v>113</v>
      </c>
      <c r="D3" s="8" t="s">
        <v>114</v>
      </c>
      <c r="E3" s="8" t="s">
        <v>115</v>
      </c>
      <c r="F3" s="8">
        <v>16.32</v>
      </c>
      <c r="G3" s="8">
        <v>42.8</v>
      </c>
      <c r="H3" s="8">
        <v>6.99</v>
      </c>
      <c r="I3" s="8">
        <v>1.31</v>
      </c>
      <c r="J3" s="8">
        <v>7.35</v>
      </c>
      <c r="K3" s="2" t="str">
        <f t="shared" ref="K3:K66" si="0">IF(A3&gt;=2025,"Forecast","Actual")</f>
        <v>Actual</v>
      </c>
      <c r="L3" s="1">
        <f t="shared" ref="L3:L66" si="1">IF(F3=0,0,I3/F3*100)</f>
        <v>8.0269607843137294</v>
      </c>
      <c r="M3" s="1">
        <f t="shared" ref="M3:M66" si="2">IF(F3=0,0,J3/F3*100)</f>
        <v>45.036764705882298</v>
      </c>
      <c r="N3" s="1" t="str">
        <f t="shared" ref="N3:N66" si="3">IF(LEFT(E3,7)="fabless","Fabless",IF(LEFT(E3,9)="equipment","Equipment",IF(E3="foundry","Manufacturer",IF(LEFT(E3,3)="idm","Manufacturer",IF(E3="eda_software","EDA Software","Other")))))</f>
        <v>Manufacturer</v>
      </c>
    </row>
    <row r="4" spans="1:14">
      <c r="A4" s="8">
        <v>2012</v>
      </c>
      <c r="B4" s="8" t="s">
        <v>112</v>
      </c>
      <c r="C4" s="8" t="s">
        <v>113</v>
      </c>
      <c r="D4" s="8" t="s">
        <v>114</v>
      </c>
      <c r="E4" s="8" t="s">
        <v>115</v>
      </c>
      <c r="F4" s="8">
        <v>17.559999999999999</v>
      </c>
      <c r="G4" s="8">
        <v>36.1</v>
      </c>
      <c r="H4" s="8">
        <v>6.34</v>
      </c>
      <c r="I4" s="8">
        <v>1.4</v>
      </c>
      <c r="J4" s="8">
        <v>7.9</v>
      </c>
      <c r="K4" s="2" t="str">
        <f t="shared" si="0"/>
        <v>Actual</v>
      </c>
      <c r="L4" s="1">
        <f t="shared" si="1"/>
        <v>7.97266514806378</v>
      </c>
      <c r="M4" s="1">
        <f t="shared" si="2"/>
        <v>44.988610478359902</v>
      </c>
      <c r="N4" s="1" t="str">
        <f t="shared" si="3"/>
        <v>Manufacturer</v>
      </c>
    </row>
    <row r="5" spans="1:14">
      <c r="A5" s="8">
        <v>2013</v>
      </c>
      <c r="B5" s="8" t="s">
        <v>112</v>
      </c>
      <c r="C5" s="8" t="s">
        <v>113</v>
      </c>
      <c r="D5" s="8" t="s">
        <v>114</v>
      </c>
      <c r="E5" s="8" t="s">
        <v>115</v>
      </c>
      <c r="F5" s="8">
        <v>21.36</v>
      </c>
      <c r="G5" s="8">
        <v>39.1</v>
      </c>
      <c r="H5" s="8">
        <v>8.34</v>
      </c>
      <c r="I5" s="8">
        <v>1.71</v>
      </c>
      <c r="J5" s="8">
        <v>9.61</v>
      </c>
      <c r="K5" s="2" t="str">
        <f t="shared" si="0"/>
        <v>Actual</v>
      </c>
      <c r="L5" s="1">
        <f t="shared" si="1"/>
        <v>8.0056179775280896</v>
      </c>
      <c r="M5" s="1">
        <f t="shared" si="2"/>
        <v>44.990636704119801</v>
      </c>
      <c r="N5" s="1" t="str">
        <f t="shared" si="3"/>
        <v>Manufacturer</v>
      </c>
    </row>
    <row r="6" spans="1:14">
      <c r="A6" s="8">
        <v>2014</v>
      </c>
      <c r="B6" s="8" t="s">
        <v>112</v>
      </c>
      <c r="C6" s="8" t="s">
        <v>113</v>
      </c>
      <c r="D6" s="8" t="s">
        <v>114</v>
      </c>
      <c r="E6" s="8" t="s">
        <v>115</v>
      </c>
      <c r="F6" s="8">
        <v>23.93</v>
      </c>
      <c r="G6" s="8">
        <v>37.4</v>
      </c>
      <c r="H6" s="8">
        <v>8.9600000000000009</v>
      </c>
      <c r="I6" s="8">
        <v>1.91</v>
      </c>
      <c r="J6" s="8">
        <v>10.77</v>
      </c>
      <c r="K6" s="2" t="str">
        <f t="shared" si="0"/>
        <v>Actual</v>
      </c>
      <c r="L6" s="1">
        <f t="shared" si="1"/>
        <v>7.9816130380275796</v>
      </c>
      <c r="M6" s="1">
        <f t="shared" si="2"/>
        <v>45.006268282490602</v>
      </c>
      <c r="N6" s="1" t="str">
        <f t="shared" si="3"/>
        <v>Manufacturer</v>
      </c>
    </row>
    <row r="7" spans="1:14">
      <c r="A7" s="8">
        <v>2015</v>
      </c>
      <c r="B7" s="8" t="s">
        <v>112</v>
      </c>
      <c r="C7" s="8" t="s">
        <v>113</v>
      </c>
      <c r="D7" s="8" t="s">
        <v>114</v>
      </c>
      <c r="E7" s="8" t="s">
        <v>115</v>
      </c>
      <c r="F7" s="8">
        <v>27.31</v>
      </c>
      <c r="G7" s="8">
        <v>42.3</v>
      </c>
      <c r="H7" s="8">
        <v>11.56</v>
      </c>
      <c r="I7" s="8">
        <v>2.1800000000000002</v>
      </c>
      <c r="J7" s="8">
        <v>12.29</v>
      </c>
      <c r="K7" s="2" t="str">
        <f t="shared" si="0"/>
        <v>Actual</v>
      </c>
      <c r="L7" s="1">
        <f t="shared" si="1"/>
        <v>7.9824240205053103</v>
      </c>
      <c r="M7" s="1">
        <f t="shared" si="2"/>
        <v>45.001830831197402</v>
      </c>
      <c r="N7" s="1" t="str">
        <f t="shared" si="3"/>
        <v>Manufacturer</v>
      </c>
    </row>
    <row r="8" spans="1:14">
      <c r="A8" s="8">
        <v>2016</v>
      </c>
      <c r="B8" s="8" t="s">
        <v>112</v>
      </c>
      <c r="C8" s="8" t="s">
        <v>113</v>
      </c>
      <c r="D8" s="8" t="s">
        <v>114</v>
      </c>
      <c r="E8" s="8" t="s">
        <v>115</v>
      </c>
      <c r="F8" s="8">
        <v>29.19</v>
      </c>
      <c r="G8" s="8">
        <v>43.4</v>
      </c>
      <c r="H8" s="8">
        <v>12.66</v>
      </c>
      <c r="I8" s="8">
        <v>2.34</v>
      </c>
      <c r="J8" s="8">
        <v>13.14</v>
      </c>
      <c r="K8" s="2" t="str">
        <f t="shared" si="0"/>
        <v>Actual</v>
      </c>
      <c r="L8" s="1">
        <f t="shared" si="1"/>
        <v>8.0164439876670102</v>
      </c>
      <c r="M8" s="1">
        <f t="shared" si="2"/>
        <v>45.015416238437801</v>
      </c>
      <c r="N8" s="1" t="str">
        <f t="shared" si="3"/>
        <v>Manufacturer</v>
      </c>
    </row>
    <row r="9" spans="1:14">
      <c r="A9" s="8">
        <v>2017</v>
      </c>
      <c r="B9" s="8" t="s">
        <v>112</v>
      </c>
      <c r="C9" s="8" t="s">
        <v>113</v>
      </c>
      <c r="D9" s="8" t="s">
        <v>114</v>
      </c>
      <c r="E9" s="8" t="s">
        <v>115</v>
      </c>
      <c r="F9" s="8">
        <v>32.11</v>
      </c>
      <c r="G9" s="8">
        <v>37.4</v>
      </c>
      <c r="H9" s="8">
        <v>12.02</v>
      </c>
      <c r="I9" s="8">
        <v>2.57</v>
      </c>
      <c r="J9" s="8">
        <v>14.45</v>
      </c>
      <c r="K9" s="2" t="str">
        <f t="shared" si="0"/>
        <v>Actual</v>
      </c>
      <c r="L9" s="1">
        <f t="shared" si="1"/>
        <v>8.0037371535347202</v>
      </c>
      <c r="M9" s="1">
        <f t="shared" si="2"/>
        <v>45.001557147306102</v>
      </c>
      <c r="N9" s="1" t="str">
        <f t="shared" si="3"/>
        <v>Manufacturer</v>
      </c>
    </row>
    <row r="10" spans="1:14">
      <c r="A10" s="8">
        <v>2018</v>
      </c>
      <c r="B10" s="8" t="s">
        <v>112</v>
      </c>
      <c r="C10" s="8" t="s">
        <v>113</v>
      </c>
      <c r="D10" s="8" t="s">
        <v>114</v>
      </c>
      <c r="E10" s="8" t="s">
        <v>115</v>
      </c>
      <c r="F10" s="8">
        <v>34.58</v>
      </c>
      <c r="G10" s="8">
        <v>37.1</v>
      </c>
      <c r="H10" s="8">
        <v>12.84</v>
      </c>
      <c r="I10" s="8">
        <v>2.77</v>
      </c>
      <c r="J10" s="8">
        <v>15.56</v>
      </c>
      <c r="K10" s="2" t="str">
        <f t="shared" si="0"/>
        <v>Actual</v>
      </c>
      <c r="L10" s="1">
        <f t="shared" si="1"/>
        <v>8.0104106419895906</v>
      </c>
      <c r="M10" s="1">
        <f t="shared" si="2"/>
        <v>44.997108155002898</v>
      </c>
      <c r="N10" s="1" t="str">
        <f t="shared" si="3"/>
        <v>Manufacturer</v>
      </c>
    </row>
    <row r="11" spans="1:14">
      <c r="A11" s="8">
        <v>2019</v>
      </c>
      <c r="B11" s="8" t="s">
        <v>112</v>
      </c>
      <c r="C11" s="8" t="s">
        <v>113</v>
      </c>
      <c r="D11" s="8" t="s">
        <v>114</v>
      </c>
      <c r="E11" s="8" t="s">
        <v>115</v>
      </c>
      <c r="F11" s="8">
        <v>40.909999999999997</v>
      </c>
      <c r="G11" s="8">
        <v>39.9</v>
      </c>
      <c r="H11" s="8">
        <v>16.3</v>
      </c>
      <c r="I11" s="8">
        <v>3.27</v>
      </c>
      <c r="J11" s="8">
        <v>18.41</v>
      </c>
      <c r="K11" s="2" t="str">
        <f t="shared" si="0"/>
        <v>Actual</v>
      </c>
      <c r="L11" s="1">
        <f t="shared" si="1"/>
        <v>7.9931557076509403</v>
      </c>
      <c r="M11" s="1">
        <f t="shared" si="2"/>
        <v>45.001222195062297</v>
      </c>
      <c r="N11" s="1" t="str">
        <f t="shared" si="3"/>
        <v>Manufacturer</v>
      </c>
    </row>
    <row r="12" spans="1:14">
      <c r="A12" s="8">
        <v>2020</v>
      </c>
      <c r="B12" s="8" t="s">
        <v>112</v>
      </c>
      <c r="C12" s="8" t="s">
        <v>113</v>
      </c>
      <c r="D12" s="8" t="s">
        <v>114</v>
      </c>
      <c r="E12" s="8" t="s">
        <v>115</v>
      </c>
      <c r="F12" s="8">
        <v>45.25</v>
      </c>
      <c r="G12" s="8">
        <v>38</v>
      </c>
      <c r="H12" s="8">
        <v>17.18</v>
      </c>
      <c r="I12" s="8">
        <v>3.62</v>
      </c>
      <c r="J12" s="8">
        <v>20.36</v>
      </c>
      <c r="K12" s="2" t="str">
        <f t="shared" si="0"/>
        <v>Actual</v>
      </c>
      <c r="L12" s="1">
        <f t="shared" si="1"/>
        <v>8</v>
      </c>
      <c r="M12" s="1">
        <f t="shared" si="2"/>
        <v>44.994475138121601</v>
      </c>
      <c r="N12" s="1" t="str">
        <f t="shared" si="3"/>
        <v>Manufacturer</v>
      </c>
    </row>
    <row r="13" spans="1:14">
      <c r="A13" s="8">
        <v>2021</v>
      </c>
      <c r="B13" s="8" t="s">
        <v>112</v>
      </c>
      <c r="C13" s="8" t="s">
        <v>113</v>
      </c>
      <c r="D13" s="8" t="s">
        <v>114</v>
      </c>
      <c r="E13" s="8" t="s">
        <v>115</v>
      </c>
      <c r="F13" s="8">
        <v>62.97</v>
      </c>
      <c r="G13" s="8">
        <v>39.5</v>
      </c>
      <c r="H13" s="8">
        <v>24.9</v>
      </c>
      <c r="I13" s="8">
        <v>5.04</v>
      </c>
      <c r="J13" s="8">
        <v>28.34</v>
      </c>
      <c r="K13" s="2" t="str">
        <f t="shared" si="0"/>
        <v>Actual</v>
      </c>
      <c r="L13" s="1">
        <f t="shared" si="1"/>
        <v>8.0038113387327297</v>
      </c>
      <c r="M13" s="1">
        <f t="shared" si="2"/>
        <v>45.005558202318603</v>
      </c>
      <c r="N13" s="1" t="str">
        <f t="shared" si="3"/>
        <v>Manufacturer</v>
      </c>
    </row>
    <row r="14" spans="1:14">
      <c r="A14" s="8">
        <v>2022</v>
      </c>
      <c r="B14" s="8" t="s">
        <v>112</v>
      </c>
      <c r="C14" s="8" t="s">
        <v>113</v>
      </c>
      <c r="D14" s="8" t="s">
        <v>114</v>
      </c>
      <c r="E14" s="8" t="s">
        <v>115</v>
      </c>
      <c r="F14" s="8">
        <v>74.930000000000007</v>
      </c>
      <c r="G14" s="8">
        <v>38.9</v>
      </c>
      <c r="H14" s="8">
        <v>29.18</v>
      </c>
      <c r="I14" s="8">
        <v>5.99</v>
      </c>
      <c r="J14" s="8">
        <v>33.72</v>
      </c>
      <c r="K14" s="2" t="str">
        <f t="shared" si="0"/>
        <v>Actual</v>
      </c>
      <c r="L14" s="1">
        <f t="shared" si="1"/>
        <v>7.9941278526624799</v>
      </c>
      <c r="M14" s="1">
        <f t="shared" si="2"/>
        <v>45.002001868410503</v>
      </c>
      <c r="N14" s="1" t="str">
        <f t="shared" si="3"/>
        <v>Manufacturer</v>
      </c>
    </row>
    <row r="15" spans="1:14">
      <c r="A15" s="8">
        <v>2023</v>
      </c>
      <c r="B15" s="8" t="s">
        <v>112</v>
      </c>
      <c r="C15" s="8" t="s">
        <v>113</v>
      </c>
      <c r="D15" s="8" t="s">
        <v>114</v>
      </c>
      <c r="E15" s="8" t="s">
        <v>115</v>
      </c>
      <c r="F15" s="8">
        <v>70.42</v>
      </c>
      <c r="G15" s="8">
        <v>41.1</v>
      </c>
      <c r="H15" s="8">
        <v>28.94</v>
      </c>
      <c r="I15" s="8">
        <v>5.63</v>
      </c>
      <c r="J15" s="8">
        <v>31.69</v>
      </c>
      <c r="K15" s="2" t="str">
        <f t="shared" si="0"/>
        <v>Actual</v>
      </c>
      <c r="L15" s="1">
        <f t="shared" si="1"/>
        <v>7.9948878159613699</v>
      </c>
      <c r="M15" s="1">
        <f t="shared" si="2"/>
        <v>45.001420051121798</v>
      </c>
      <c r="N15" s="1" t="str">
        <f t="shared" si="3"/>
        <v>Manufacturer</v>
      </c>
    </row>
    <row r="16" spans="1:14">
      <c r="A16" s="8">
        <v>2024</v>
      </c>
      <c r="B16" s="8" t="s">
        <v>112</v>
      </c>
      <c r="C16" s="8" t="s">
        <v>113</v>
      </c>
      <c r="D16" s="8" t="s">
        <v>114</v>
      </c>
      <c r="E16" s="8" t="s">
        <v>115</v>
      </c>
      <c r="F16" s="8">
        <v>88.89</v>
      </c>
      <c r="G16" s="8">
        <v>41.3</v>
      </c>
      <c r="H16" s="8">
        <v>36.71</v>
      </c>
      <c r="I16" s="8">
        <v>7.11</v>
      </c>
      <c r="J16" s="8">
        <v>40</v>
      </c>
      <c r="K16" s="2" t="str">
        <f t="shared" si="0"/>
        <v>Actual</v>
      </c>
      <c r="L16" s="1">
        <f t="shared" si="1"/>
        <v>7.99865001687479</v>
      </c>
      <c r="M16" s="1">
        <f t="shared" si="2"/>
        <v>44.999437507031203</v>
      </c>
      <c r="N16" s="1" t="str">
        <f t="shared" si="3"/>
        <v>Manufacturer</v>
      </c>
    </row>
    <row r="17" spans="1:14">
      <c r="A17" s="8">
        <v>2025</v>
      </c>
      <c r="B17" s="8" t="s">
        <v>112</v>
      </c>
      <c r="C17" s="8" t="s">
        <v>113</v>
      </c>
      <c r="D17" s="8" t="s">
        <v>114</v>
      </c>
      <c r="E17" s="8" t="s">
        <v>115</v>
      </c>
      <c r="F17" s="8">
        <v>108.13</v>
      </c>
      <c r="G17" s="8">
        <v>38.799999999999997</v>
      </c>
      <c r="H17" s="8">
        <v>41.93</v>
      </c>
      <c r="I17" s="8">
        <v>8.65</v>
      </c>
      <c r="J17" s="8">
        <v>48.66</v>
      </c>
      <c r="K17" s="2" t="str">
        <f t="shared" si="0"/>
        <v>Forecast</v>
      </c>
      <c r="L17" s="1">
        <f t="shared" si="1"/>
        <v>7.9996300749098301</v>
      </c>
      <c r="M17" s="1">
        <f t="shared" si="2"/>
        <v>45.001387219088102</v>
      </c>
      <c r="N17" s="1" t="str">
        <f t="shared" si="3"/>
        <v>Manufacturer</v>
      </c>
    </row>
    <row r="18" spans="1:14">
      <c r="A18" s="8">
        <v>2026</v>
      </c>
      <c r="B18" s="8" t="s">
        <v>112</v>
      </c>
      <c r="C18" s="8" t="s">
        <v>113</v>
      </c>
      <c r="D18" s="8" t="s">
        <v>114</v>
      </c>
      <c r="E18" s="8" t="s">
        <v>115</v>
      </c>
      <c r="F18" s="8">
        <v>113.25</v>
      </c>
      <c r="G18" s="8">
        <v>37.6</v>
      </c>
      <c r="H18" s="8">
        <v>42.53</v>
      </c>
      <c r="I18" s="8">
        <v>9.06</v>
      </c>
      <c r="J18" s="8">
        <v>50.96</v>
      </c>
      <c r="K18" s="2" t="str">
        <f t="shared" si="0"/>
        <v>Forecast</v>
      </c>
      <c r="L18" s="1">
        <f t="shared" si="1"/>
        <v>8</v>
      </c>
      <c r="M18" s="1">
        <f t="shared" si="2"/>
        <v>44.997792494481203</v>
      </c>
      <c r="N18" s="1" t="str">
        <f t="shared" si="3"/>
        <v>Manufacturer</v>
      </c>
    </row>
    <row r="19" spans="1:14">
      <c r="A19" s="8">
        <v>2010</v>
      </c>
      <c r="B19" s="8" t="s">
        <v>116</v>
      </c>
      <c r="C19" s="25" t="s">
        <v>117</v>
      </c>
      <c r="D19" s="8" t="s">
        <v>118</v>
      </c>
      <c r="E19" s="8" t="s">
        <v>115</v>
      </c>
      <c r="F19" s="8">
        <v>3.06</v>
      </c>
      <c r="G19" s="8">
        <v>43.4</v>
      </c>
      <c r="H19" s="8">
        <v>1.33</v>
      </c>
      <c r="I19" s="8">
        <v>0.24</v>
      </c>
      <c r="J19" s="8">
        <v>1.38</v>
      </c>
      <c r="K19" s="2" t="str">
        <f t="shared" si="0"/>
        <v>Actual</v>
      </c>
      <c r="L19" s="1">
        <f t="shared" si="1"/>
        <v>7.8431372549019596</v>
      </c>
      <c r="M19" s="1">
        <f t="shared" si="2"/>
        <v>45.098039215686299</v>
      </c>
      <c r="N19" s="1" t="str">
        <f t="shared" si="3"/>
        <v>Manufacturer</v>
      </c>
    </row>
    <row r="20" spans="1:14">
      <c r="A20" s="8">
        <v>2011</v>
      </c>
      <c r="B20" s="8" t="s">
        <v>116</v>
      </c>
      <c r="C20" s="25" t="s">
        <v>117</v>
      </c>
      <c r="D20" s="8" t="s">
        <v>118</v>
      </c>
      <c r="E20" s="8" t="s">
        <v>115</v>
      </c>
      <c r="F20" s="8">
        <v>3.69</v>
      </c>
      <c r="G20" s="8">
        <v>37.5</v>
      </c>
      <c r="H20" s="8">
        <v>1.38</v>
      </c>
      <c r="I20" s="8">
        <v>0.28999999999999998</v>
      </c>
      <c r="J20" s="8">
        <v>1.66</v>
      </c>
      <c r="K20" s="2" t="str">
        <f t="shared" si="0"/>
        <v>Actual</v>
      </c>
      <c r="L20" s="1">
        <f t="shared" si="1"/>
        <v>7.8590785907859102</v>
      </c>
      <c r="M20" s="1">
        <f t="shared" si="2"/>
        <v>44.986449864498603</v>
      </c>
      <c r="N20" s="1" t="str">
        <f t="shared" si="3"/>
        <v>Manufacturer</v>
      </c>
    </row>
    <row r="21" spans="1:14">
      <c r="A21" s="8">
        <v>2012</v>
      </c>
      <c r="B21" s="8" t="s">
        <v>116</v>
      </c>
      <c r="C21" s="25" t="s">
        <v>117</v>
      </c>
      <c r="D21" s="8" t="s">
        <v>118</v>
      </c>
      <c r="E21" s="8" t="s">
        <v>115</v>
      </c>
      <c r="F21" s="8">
        <v>4.29</v>
      </c>
      <c r="G21" s="8">
        <v>42</v>
      </c>
      <c r="H21" s="8">
        <v>1.8</v>
      </c>
      <c r="I21" s="8">
        <v>0.34</v>
      </c>
      <c r="J21" s="8">
        <v>1.93</v>
      </c>
      <c r="K21" s="2" t="str">
        <f t="shared" si="0"/>
        <v>Actual</v>
      </c>
      <c r="L21" s="1">
        <f t="shared" si="1"/>
        <v>7.9254079254079297</v>
      </c>
      <c r="M21" s="1">
        <f t="shared" si="2"/>
        <v>44.988344988344998</v>
      </c>
      <c r="N21" s="1" t="str">
        <f t="shared" si="3"/>
        <v>Manufacturer</v>
      </c>
    </row>
    <row r="22" spans="1:14">
      <c r="A22" s="8">
        <v>2013</v>
      </c>
      <c r="B22" s="8" t="s">
        <v>116</v>
      </c>
      <c r="C22" s="25" t="s">
        <v>117</v>
      </c>
      <c r="D22" s="8" t="s">
        <v>118</v>
      </c>
      <c r="E22" s="8" t="s">
        <v>115</v>
      </c>
      <c r="F22" s="8">
        <v>5.21</v>
      </c>
      <c r="G22" s="8">
        <v>41.6</v>
      </c>
      <c r="H22" s="8">
        <v>2.17</v>
      </c>
      <c r="I22" s="8">
        <v>0.42</v>
      </c>
      <c r="J22" s="8">
        <v>2.35</v>
      </c>
      <c r="K22" s="2" t="str">
        <f t="shared" si="0"/>
        <v>Actual</v>
      </c>
      <c r="L22" s="1">
        <f t="shared" si="1"/>
        <v>8.0614203454894398</v>
      </c>
      <c r="M22" s="1">
        <f t="shared" si="2"/>
        <v>45.105566218809997</v>
      </c>
      <c r="N22" s="1" t="str">
        <f t="shared" si="3"/>
        <v>Manufacturer</v>
      </c>
    </row>
    <row r="23" spans="1:14">
      <c r="A23" s="8">
        <v>2014</v>
      </c>
      <c r="B23" s="8" t="s">
        <v>116</v>
      </c>
      <c r="C23" s="25" t="s">
        <v>117</v>
      </c>
      <c r="D23" s="8" t="s">
        <v>118</v>
      </c>
      <c r="E23" s="8" t="s">
        <v>115</v>
      </c>
      <c r="F23" s="8">
        <v>5.69</v>
      </c>
      <c r="G23" s="8">
        <v>40.700000000000003</v>
      </c>
      <c r="H23" s="8">
        <v>2.31</v>
      </c>
      <c r="I23" s="8">
        <v>0.45</v>
      </c>
      <c r="J23" s="8">
        <v>2.56</v>
      </c>
      <c r="K23" s="2" t="str">
        <f t="shared" si="0"/>
        <v>Actual</v>
      </c>
      <c r="L23" s="1">
        <f t="shared" si="1"/>
        <v>7.9086115992970099</v>
      </c>
      <c r="M23" s="1">
        <f t="shared" si="2"/>
        <v>44.991212653778597</v>
      </c>
      <c r="N23" s="1" t="str">
        <f t="shared" si="3"/>
        <v>Manufacturer</v>
      </c>
    </row>
    <row r="24" spans="1:14">
      <c r="A24" s="8">
        <v>2015</v>
      </c>
      <c r="B24" s="8" t="s">
        <v>116</v>
      </c>
      <c r="C24" s="25" t="s">
        <v>117</v>
      </c>
      <c r="D24" s="8" t="s">
        <v>118</v>
      </c>
      <c r="E24" s="8" t="s">
        <v>115</v>
      </c>
      <c r="F24" s="8">
        <v>6.52</v>
      </c>
      <c r="G24" s="8">
        <v>40.700000000000003</v>
      </c>
      <c r="H24" s="8">
        <v>2.65</v>
      </c>
      <c r="I24" s="8">
        <v>0.52</v>
      </c>
      <c r="J24" s="8">
        <v>2.94</v>
      </c>
      <c r="K24" s="2" t="str">
        <f t="shared" si="0"/>
        <v>Actual</v>
      </c>
      <c r="L24" s="1">
        <f t="shared" si="1"/>
        <v>7.9754601226993902</v>
      </c>
      <c r="M24" s="1">
        <f t="shared" si="2"/>
        <v>45.092024539877301</v>
      </c>
      <c r="N24" s="1" t="str">
        <f t="shared" si="3"/>
        <v>Manufacturer</v>
      </c>
    </row>
    <row r="25" spans="1:14">
      <c r="A25" s="8">
        <v>2016</v>
      </c>
      <c r="B25" s="8" t="s">
        <v>116</v>
      </c>
      <c r="C25" s="25" t="s">
        <v>117</v>
      </c>
      <c r="D25" s="8" t="s">
        <v>118</v>
      </c>
      <c r="E25" s="8" t="s">
        <v>115</v>
      </c>
      <c r="F25" s="8">
        <v>8.5500000000000007</v>
      </c>
      <c r="G25" s="8">
        <v>40.700000000000003</v>
      </c>
      <c r="H25" s="8">
        <v>3.48</v>
      </c>
      <c r="I25" s="8">
        <v>0.68</v>
      </c>
      <c r="J25" s="8">
        <v>3.85</v>
      </c>
      <c r="K25" s="2" t="str">
        <f t="shared" si="0"/>
        <v>Actual</v>
      </c>
      <c r="L25" s="1">
        <f t="shared" si="1"/>
        <v>7.9532163742690098</v>
      </c>
      <c r="M25" s="1">
        <f t="shared" si="2"/>
        <v>45.029239766081901</v>
      </c>
      <c r="N25" s="1" t="str">
        <f t="shared" si="3"/>
        <v>Manufacturer</v>
      </c>
    </row>
    <row r="26" spans="1:14">
      <c r="A26" s="8">
        <v>2017</v>
      </c>
      <c r="B26" s="8" t="s">
        <v>116</v>
      </c>
      <c r="C26" s="25" t="s">
        <v>117</v>
      </c>
      <c r="D26" s="8" t="s">
        <v>118</v>
      </c>
      <c r="E26" s="8" t="s">
        <v>115</v>
      </c>
      <c r="F26" s="8">
        <v>10.38</v>
      </c>
      <c r="G26" s="8">
        <v>40.200000000000003</v>
      </c>
      <c r="H26" s="8">
        <v>4.17</v>
      </c>
      <c r="I26" s="8">
        <v>0.83</v>
      </c>
      <c r="J26" s="8">
        <v>4.67</v>
      </c>
      <c r="K26" s="2" t="str">
        <f t="shared" si="0"/>
        <v>Actual</v>
      </c>
      <c r="L26" s="1">
        <f t="shared" si="1"/>
        <v>7.9961464354527898</v>
      </c>
      <c r="M26" s="1">
        <f t="shared" si="2"/>
        <v>44.990366088632001</v>
      </c>
      <c r="N26" s="1" t="str">
        <f t="shared" si="3"/>
        <v>Manufacturer</v>
      </c>
    </row>
    <row r="27" spans="1:14">
      <c r="A27" s="8">
        <v>2018</v>
      </c>
      <c r="B27" s="8" t="s">
        <v>116</v>
      </c>
      <c r="C27" s="25" t="s">
        <v>117</v>
      </c>
      <c r="D27" s="8" t="s">
        <v>118</v>
      </c>
      <c r="E27" s="8" t="s">
        <v>115</v>
      </c>
      <c r="F27" s="8">
        <v>12.1</v>
      </c>
      <c r="G27" s="8">
        <v>41.9</v>
      </c>
      <c r="H27" s="8">
        <v>5.07</v>
      </c>
      <c r="I27" s="8">
        <v>0.97</v>
      </c>
      <c r="J27" s="8">
        <v>5.45</v>
      </c>
      <c r="K27" s="2" t="str">
        <f t="shared" si="0"/>
        <v>Actual</v>
      </c>
      <c r="L27" s="1">
        <f t="shared" si="1"/>
        <v>8.0165289256198307</v>
      </c>
      <c r="M27" s="1">
        <f t="shared" si="2"/>
        <v>45.041322314049602</v>
      </c>
      <c r="N27" s="1" t="str">
        <f t="shared" si="3"/>
        <v>Manufacturer</v>
      </c>
    </row>
    <row r="28" spans="1:14">
      <c r="A28" s="8">
        <v>2019</v>
      </c>
      <c r="B28" s="8" t="s">
        <v>116</v>
      </c>
      <c r="C28" s="25" t="s">
        <v>117</v>
      </c>
      <c r="D28" s="8" t="s">
        <v>118</v>
      </c>
      <c r="E28" s="8" t="s">
        <v>115</v>
      </c>
      <c r="F28" s="8">
        <v>12.78</v>
      </c>
      <c r="G28" s="8">
        <v>39</v>
      </c>
      <c r="H28" s="8">
        <v>4.99</v>
      </c>
      <c r="I28" s="8">
        <v>1.02</v>
      </c>
      <c r="J28" s="8">
        <v>5.75</v>
      </c>
      <c r="K28" s="2" t="str">
        <f t="shared" si="0"/>
        <v>Actual</v>
      </c>
      <c r="L28" s="1">
        <f t="shared" si="1"/>
        <v>7.9812206572770004</v>
      </c>
      <c r="M28" s="1">
        <f t="shared" si="2"/>
        <v>44.992175273865399</v>
      </c>
      <c r="N28" s="1" t="str">
        <f t="shared" si="3"/>
        <v>Manufacturer</v>
      </c>
    </row>
    <row r="29" spans="1:14">
      <c r="A29" s="8">
        <v>2020</v>
      </c>
      <c r="B29" s="8" t="s">
        <v>116</v>
      </c>
      <c r="C29" s="25" t="s">
        <v>117</v>
      </c>
      <c r="D29" s="8" t="s">
        <v>118</v>
      </c>
      <c r="E29" s="8" t="s">
        <v>115</v>
      </c>
      <c r="F29" s="8">
        <v>14.49</v>
      </c>
      <c r="G29" s="8">
        <v>38.1</v>
      </c>
      <c r="H29" s="8">
        <v>5.52</v>
      </c>
      <c r="I29" s="8">
        <v>1.1599999999999999</v>
      </c>
      <c r="J29" s="8">
        <v>6.52</v>
      </c>
      <c r="K29" s="2" t="str">
        <f t="shared" si="0"/>
        <v>Actual</v>
      </c>
      <c r="L29" s="1">
        <f t="shared" si="1"/>
        <v>8.0055210489993094</v>
      </c>
      <c r="M29" s="1">
        <f t="shared" si="2"/>
        <v>44.996549344375403</v>
      </c>
      <c r="N29" s="1" t="str">
        <f t="shared" si="3"/>
        <v>Manufacturer</v>
      </c>
    </row>
    <row r="30" spans="1:14">
      <c r="A30" s="8">
        <v>2021</v>
      </c>
      <c r="B30" s="8" t="s">
        <v>116</v>
      </c>
      <c r="C30" s="25" t="s">
        <v>117</v>
      </c>
      <c r="D30" s="8" t="s">
        <v>118</v>
      </c>
      <c r="E30" s="8" t="s">
        <v>115</v>
      </c>
      <c r="F30" s="8">
        <v>16.46</v>
      </c>
      <c r="G30" s="8">
        <v>44.5</v>
      </c>
      <c r="H30" s="8">
        <v>7.32</v>
      </c>
      <c r="I30" s="8">
        <v>1.32</v>
      </c>
      <c r="J30" s="8">
        <v>7.41</v>
      </c>
      <c r="K30" s="2" t="str">
        <f t="shared" si="0"/>
        <v>Actual</v>
      </c>
      <c r="L30" s="1">
        <f t="shared" si="1"/>
        <v>8.0194410692588107</v>
      </c>
      <c r="M30" s="1">
        <f t="shared" si="2"/>
        <v>45.018226002430097</v>
      </c>
      <c r="N30" s="1" t="str">
        <f t="shared" si="3"/>
        <v>Manufacturer</v>
      </c>
    </row>
    <row r="31" spans="1:14">
      <c r="A31" s="8">
        <v>2022</v>
      </c>
      <c r="B31" s="8" t="s">
        <v>116</v>
      </c>
      <c r="C31" s="25" t="s">
        <v>117</v>
      </c>
      <c r="D31" s="8" t="s">
        <v>118</v>
      </c>
      <c r="E31" s="8" t="s">
        <v>115</v>
      </c>
      <c r="F31" s="8">
        <v>18.03</v>
      </c>
      <c r="G31" s="8">
        <v>42.9</v>
      </c>
      <c r="H31" s="8">
        <v>7.73</v>
      </c>
      <c r="I31" s="8">
        <v>1.44</v>
      </c>
      <c r="J31" s="8">
        <v>8.11</v>
      </c>
      <c r="K31" s="2" t="str">
        <f t="shared" si="0"/>
        <v>Actual</v>
      </c>
      <c r="L31" s="1">
        <f t="shared" si="1"/>
        <v>7.9866888519134802</v>
      </c>
      <c r="M31" s="1">
        <f t="shared" si="2"/>
        <v>44.980587909040501</v>
      </c>
      <c r="N31" s="1" t="str">
        <f t="shared" si="3"/>
        <v>Manufacturer</v>
      </c>
    </row>
    <row r="32" spans="1:14">
      <c r="A32" s="8">
        <v>2023</v>
      </c>
      <c r="B32" s="8" t="s">
        <v>116</v>
      </c>
      <c r="C32" s="25" t="s">
        <v>117</v>
      </c>
      <c r="D32" s="8" t="s">
        <v>118</v>
      </c>
      <c r="E32" s="8" t="s">
        <v>115</v>
      </c>
      <c r="F32" s="8">
        <v>12.36</v>
      </c>
      <c r="G32" s="8">
        <v>39</v>
      </c>
      <c r="H32" s="8">
        <v>4.82</v>
      </c>
      <c r="I32" s="8">
        <v>0.99</v>
      </c>
      <c r="J32" s="8">
        <v>5.56</v>
      </c>
      <c r="K32" s="2" t="str">
        <f t="shared" si="0"/>
        <v>Actual</v>
      </c>
      <c r="L32" s="1">
        <f t="shared" si="1"/>
        <v>8.0097087378640808</v>
      </c>
      <c r="M32" s="1">
        <f t="shared" si="2"/>
        <v>44.983818770226499</v>
      </c>
      <c r="N32" s="1" t="str">
        <f t="shared" si="3"/>
        <v>Manufacturer</v>
      </c>
    </row>
    <row r="33" spans="1:14">
      <c r="A33" s="8">
        <v>2024</v>
      </c>
      <c r="B33" s="8" t="s">
        <v>116</v>
      </c>
      <c r="C33" s="25" t="s">
        <v>117</v>
      </c>
      <c r="D33" s="8" t="s">
        <v>118</v>
      </c>
      <c r="E33" s="8" t="s">
        <v>115</v>
      </c>
      <c r="F33" s="8">
        <v>18.09</v>
      </c>
      <c r="G33" s="8">
        <v>41.8</v>
      </c>
      <c r="H33" s="8">
        <v>7.55</v>
      </c>
      <c r="I33" s="8">
        <v>1.45</v>
      </c>
      <c r="J33" s="8">
        <v>8.14</v>
      </c>
      <c r="K33" s="2" t="str">
        <f t="shared" si="0"/>
        <v>Actual</v>
      </c>
      <c r="L33" s="1">
        <f t="shared" si="1"/>
        <v>8.0154781647318991</v>
      </c>
      <c r="M33" s="1">
        <f t="shared" si="2"/>
        <v>44.997236042012197</v>
      </c>
      <c r="N33" s="1" t="str">
        <f t="shared" si="3"/>
        <v>Manufacturer</v>
      </c>
    </row>
    <row r="34" spans="1:14">
      <c r="A34" s="8">
        <v>2025</v>
      </c>
      <c r="B34" s="8" t="s">
        <v>116</v>
      </c>
      <c r="C34" s="25" t="s">
        <v>117</v>
      </c>
      <c r="D34" s="8" t="s">
        <v>118</v>
      </c>
      <c r="E34" s="8" t="s">
        <v>115</v>
      </c>
      <c r="F34" s="8">
        <v>20.43</v>
      </c>
      <c r="G34" s="8">
        <v>42.4</v>
      </c>
      <c r="H34" s="8">
        <v>8.66</v>
      </c>
      <c r="I34" s="8">
        <v>1.63</v>
      </c>
      <c r="J34" s="8">
        <v>9.19</v>
      </c>
      <c r="K34" s="2" t="str">
        <f t="shared" si="0"/>
        <v>Forecast</v>
      </c>
      <c r="L34" s="1">
        <f t="shared" si="1"/>
        <v>7.9784630445423401</v>
      </c>
      <c r="M34" s="1">
        <f t="shared" si="2"/>
        <v>44.9828683308859</v>
      </c>
      <c r="N34" s="1" t="str">
        <f t="shared" si="3"/>
        <v>Manufacturer</v>
      </c>
    </row>
    <row r="35" spans="1:14">
      <c r="A35" s="8">
        <v>2026</v>
      </c>
      <c r="B35" s="8" t="s">
        <v>116</v>
      </c>
      <c r="C35" s="25" t="s">
        <v>117</v>
      </c>
      <c r="D35" s="8" t="s">
        <v>118</v>
      </c>
      <c r="E35" s="8" t="s">
        <v>115</v>
      </c>
      <c r="F35" s="8">
        <v>21.77</v>
      </c>
      <c r="G35" s="8">
        <v>38.6</v>
      </c>
      <c r="H35" s="8">
        <v>8.41</v>
      </c>
      <c r="I35" s="8">
        <v>1.74</v>
      </c>
      <c r="J35" s="8">
        <v>9.8000000000000007</v>
      </c>
      <c r="K35" s="2" t="str">
        <f t="shared" si="0"/>
        <v>Forecast</v>
      </c>
      <c r="L35" s="1">
        <f t="shared" si="1"/>
        <v>7.9926504363803401</v>
      </c>
      <c r="M35" s="1">
        <f t="shared" si="2"/>
        <v>45.016077170418001</v>
      </c>
      <c r="N35" s="1" t="str">
        <f t="shared" si="3"/>
        <v>Manufacturer</v>
      </c>
    </row>
    <row r="36" spans="1:14">
      <c r="A36" s="8">
        <v>2010</v>
      </c>
      <c r="B36" s="8" t="s">
        <v>119</v>
      </c>
      <c r="C36" s="8" t="s">
        <v>120</v>
      </c>
      <c r="D36" s="8" t="s">
        <v>121</v>
      </c>
      <c r="E36" s="8" t="s">
        <v>115</v>
      </c>
      <c r="F36" s="8">
        <v>3.59</v>
      </c>
      <c r="G36" s="8">
        <v>39.4</v>
      </c>
      <c r="H36" s="8">
        <v>1.42</v>
      </c>
      <c r="I36" s="8">
        <v>0.28999999999999998</v>
      </c>
      <c r="J36" s="8">
        <v>1.62</v>
      </c>
      <c r="K36" s="2" t="str">
        <f t="shared" si="0"/>
        <v>Actual</v>
      </c>
      <c r="L36" s="1">
        <f t="shared" si="1"/>
        <v>8.0779944289693599</v>
      </c>
      <c r="M36" s="1">
        <f t="shared" si="2"/>
        <v>45.125348189415</v>
      </c>
      <c r="N36" s="1" t="str">
        <f t="shared" si="3"/>
        <v>Manufacturer</v>
      </c>
    </row>
    <row r="37" spans="1:14">
      <c r="A37" s="8">
        <v>2011</v>
      </c>
      <c r="B37" s="8" t="s">
        <v>119</v>
      </c>
      <c r="C37" s="8" t="s">
        <v>120</v>
      </c>
      <c r="D37" s="8" t="s">
        <v>121</v>
      </c>
      <c r="E37" s="8" t="s">
        <v>115</v>
      </c>
      <c r="F37" s="8">
        <v>3.66</v>
      </c>
      <c r="G37" s="8">
        <v>36.6</v>
      </c>
      <c r="H37" s="8">
        <v>1.34</v>
      </c>
      <c r="I37" s="8">
        <v>0.28999999999999998</v>
      </c>
      <c r="J37" s="8">
        <v>1.65</v>
      </c>
      <c r="K37" s="2" t="str">
        <f t="shared" si="0"/>
        <v>Actual</v>
      </c>
      <c r="L37" s="1">
        <f t="shared" si="1"/>
        <v>7.9234972677595596</v>
      </c>
      <c r="M37" s="1">
        <f t="shared" si="2"/>
        <v>45.081967213114801</v>
      </c>
      <c r="N37" s="1" t="str">
        <f t="shared" si="3"/>
        <v>Manufacturer</v>
      </c>
    </row>
    <row r="38" spans="1:14">
      <c r="A38" s="8">
        <v>2012</v>
      </c>
      <c r="B38" s="8" t="s">
        <v>119</v>
      </c>
      <c r="C38" s="8" t="s">
        <v>120</v>
      </c>
      <c r="D38" s="8" t="s">
        <v>121</v>
      </c>
      <c r="E38" s="8" t="s">
        <v>115</v>
      </c>
      <c r="F38" s="8">
        <v>3.99</v>
      </c>
      <c r="G38" s="8">
        <v>41.5</v>
      </c>
      <c r="H38" s="8">
        <v>1.65</v>
      </c>
      <c r="I38" s="8">
        <v>0.32</v>
      </c>
      <c r="J38" s="8">
        <v>1.79</v>
      </c>
      <c r="K38" s="2" t="str">
        <f t="shared" si="0"/>
        <v>Actual</v>
      </c>
      <c r="L38" s="1">
        <f t="shared" si="1"/>
        <v>8.0200501253132792</v>
      </c>
      <c r="M38" s="1">
        <f t="shared" si="2"/>
        <v>44.862155388471201</v>
      </c>
      <c r="N38" s="1" t="str">
        <f t="shared" si="3"/>
        <v>Manufacturer</v>
      </c>
    </row>
    <row r="39" spans="1:14">
      <c r="A39" s="8">
        <v>2013</v>
      </c>
      <c r="B39" s="8" t="s">
        <v>119</v>
      </c>
      <c r="C39" s="8" t="s">
        <v>120</v>
      </c>
      <c r="D39" s="8" t="s">
        <v>121</v>
      </c>
      <c r="E39" s="8" t="s">
        <v>115</v>
      </c>
      <c r="F39" s="8">
        <v>4.42</v>
      </c>
      <c r="G39" s="8">
        <v>42.1</v>
      </c>
      <c r="H39" s="8">
        <v>1.86</v>
      </c>
      <c r="I39" s="8">
        <v>0.35</v>
      </c>
      <c r="J39" s="8">
        <v>1.99</v>
      </c>
      <c r="K39" s="2" t="str">
        <f t="shared" si="0"/>
        <v>Actual</v>
      </c>
      <c r="L39" s="1">
        <f t="shared" si="1"/>
        <v>7.91855203619909</v>
      </c>
      <c r="M39" s="1">
        <f t="shared" si="2"/>
        <v>45.022624434389101</v>
      </c>
      <c r="N39" s="1" t="str">
        <f t="shared" si="3"/>
        <v>Manufacturer</v>
      </c>
    </row>
    <row r="40" spans="1:14">
      <c r="A40" s="8">
        <v>2014</v>
      </c>
      <c r="B40" s="8" t="s">
        <v>119</v>
      </c>
      <c r="C40" s="8" t="s">
        <v>120</v>
      </c>
      <c r="D40" s="8" t="s">
        <v>121</v>
      </c>
      <c r="E40" s="8" t="s">
        <v>115</v>
      </c>
      <c r="F40" s="8">
        <v>4.6399999999999997</v>
      </c>
      <c r="G40" s="8">
        <v>40.5</v>
      </c>
      <c r="H40" s="8">
        <v>1.88</v>
      </c>
      <c r="I40" s="8">
        <v>0.37</v>
      </c>
      <c r="J40" s="8">
        <v>2.09</v>
      </c>
      <c r="K40" s="2" t="str">
        <f t="shared" si="0"/>
        <v>Actual</v>
      </c>
      <c r="L40" s="1">
        <f t="shared" si="1"/>
        <v>7.9741379310344804</v>
      </c>
      <c r="M40" s="1">
        <f t="shared" si="2"/>
        <v>45.0431034482759</v>
      </c>
      <c r="N40" s="1" t="str">
        <f t="shared" si="3"/>
        <v>Manufacturer</v>
      </c>
    </row>
    <row r="41" spans="1:14">
      <c r="A41" s="8">
        <v>2015</v>
      </c>
      <c r="B41" s="8" t="s">
        <v>119</v>
      </c>
      <c r="C41" s="8" t="s">
        <v>120</v>
      </c>
      <c r="D41" s="8" t="s">
        <v>121</v>
      </c>
      <c r="E41" s="8" t="s">
        <v>115</v>
      </c>
      <c r="F41" s="8">
        <v>5.09</v>
      </c>
      <c r="G41" s="8">
        <v>39.1</v>
      </c>
      <c r="H41" s="8">
        <v>1.99</v>
      </c>
      <c r="I41" s="8">
        <v>0.41</v>
      </c>
      <c r="J41" s="8">
        <v>2.29</v>
      </c>
      <c r="K41" s="2" t="str">
        <f t="shared" si="0"/>
        <v>Actual</v>
      </c>
      <c r="L41" s="1">
        <f t="shared" si="1"/>
        <v>8.0550098231827096</v>
      </c>
      <c r="M41" s="1">
        <f t="shared" si="2"/>
        <v>44.990176817288798</v>
      </c>
      <c r="N41" s="1" t="str">
        <f t="shared" si="3"/>
        <v>Manufacturer</v>
      </c>
    </row>
    <row r="42" spans="1:14">
      <c r="A42" s="8">
        <v>2016</v>
      </c>
      <c r="B42" s="8" t="s">
        <v>119</v>
      </c>
      <c r="C42" s="8" t="s">
        <v>120</v>
      </c>
      <c r="D42" s="8" t="s">
        <v>121</v>
      </c>
      <c r="E42" s="8" t="s">
        <v>115</v>
      </c>
      <c r="F42" s="8">
        <v>5.47</v>
      </c>
      <c r="G42" s="8">
        <v>38</v>
      </c>
      <c r="H42" s="8">
        <v>2.08</v>
      </c>
      <c r="I42" s="8">
        <v>0.44</v>
      </c>
      <c r="J42" s="8">
        <v>2.46</v>
      </c>
      <c r="K42" s="2" t="str">
        <f t="shared" si="0"/>
        <v>Actual</v>
      </c>
      <c r="L42" s="1">
        <f t="shared" si="1"/>
        <v>8.0438756855575893</v>
      </c>
      <c r="M42" s="1">
        <f t="shared" si="2"/>
        <v>44.9725776965265</v>
      </c>
      <c r="N42" s="1" t="str">
        <f t="shared" si="3"/>
        <v>Manufacturer</v>
      </c>
    </row>
    <row r="43" spans="1:14">
      <c r="A43" s="8">
        <v>2017</v>
      </c>
      <c r="B43" s="8" t="s">
        <v>119</v>
      </c>
      <c r="C43" s="8" t="s">
        <v>120</v>
      </c>
      <c r="D43" s="8" t="s">
        <v>121</v>
      </c>
      <c r="E43" s="8" t="s">
        <v>115</v>
      </c>
      <c r="F43" s="8">
        <v>5.74</v>
      </c>
      <c r="G43" s="8">
        <v>38.9</v>
      </c>
      <c r="H43" s="8">
        <v>2.23</v>
      </c>
      <c r="I43" s="8">
        <v>0.46</v>
      </c>
      <c r="J43" s="8">
        <v>2.58</v>
      </c>
      <c r="K43" s="2" t="str">
        <f t="shared" si="0"/>
        <v>Actual</v>
      </c>
      <c r="L43" s="1">
        <f t="shared" si="1"/>
        <v>8.0139372822299606</v>
      </c>
      <c r="M43" s="1">
        <f t="shared" si="2"/>
        <v>44.947735191637598</v>
      </c>
      <c r="N43" s="1" t="str">
        <f t="shared" si="3"/>
        <v>Manufacturer</v>
      </c>
    </row>
    <row r="44" spans="1:14">
      <c r="A44" s="8">
        <v>2018</v>
      </c>
      <c r="B44" s="8" t="s">
        <v>119</v>
      </c>
      <c r="C44" s="8" t="s">
        <v>120</v>
      </c>
      <c r="D44" s="8" t="s">
        <v>121</v>
      </c>
      <c r="E44" s="8" t="s">
        <v>115</v>
      </c>
      <c r="F44" s="8">
        <v>5.98</v>
      </c>
      <c r="G44" s="8">
        <v>41.5</v>
      </c>
      <c r="H44" s="8">
        <v>2.48</v>
      </c>
      <c r="I44" s="8">
        <v>0.48</v>
      </c>
      <c r="J44" s="8">
        <v>2.69</v>
      </c>
      <c r="K44" s="2" t="str">
        <f t="shared" si="0"/>
        <v>Actual</v>
      </c>
      <c r="L44" s="1">
        <f t="shared" si="1"/>
        <v>8.0267558528428093</v>
      </c>
      <c r="M44" s="1">
        <f t="shared" si="2"/>
        <v>44.983277591973199</v>
      </c>
      <c r="N44" s="1" t="str">
        <f t="shared" si="3"/>
        <v>Manufacturer</v>
      </c>
    </row>
    <row r="45" spans="1:14">
      <c r="A45" s="8">
        <v>2019</v>
      </c>
      <c r="B45" s="8" t="s">
        <v>119</v>
      </c>
      <c r="C45" s="8" t="s">
        <v>120</v>
      </c>
      <c r="D45" s="8" t="s">
        <v>121</v>
      </c>
      <c r="E45" s="8" t="s">
        <v>115</v>
      </c>
      <c r="F45" s="8">
        <v>5.47</v>
      </c>
      <c r="G45" s="8">
        <v>40</v>
      </c>
      <c r="H45" s="8">
        <v>2.19</v>
      </c>
      <c r="I45" s="8">
        <v>0.44</v>
      </c>
      <c r="J45" s="8">
        <v>2.46</v>
      </c>
      <c r="K45" s="2" t="str">
        <f t="shared" si="0"/>
        <v>Actual</v>
      </c>
      <c r="L45" s="1">
        <f t="shared" si="1"/>
        <v>8.0438756855575893</v>
      </c>
      <c r="M45" s="1">
        <f t="shared" si="2"/>
        <v>44.9725776965265</v>
      </c>
      <c r="N45" s="1" t="str">
        <f t="shared" si="3"/>
        <v>Manufacturer</v>
      </c>
    </row>
    <row r="46" spans="1:14">
      <c r="A46" s="8">
        <v>2020</v>
      </c>
      <c r="B46" s="8" t="s">
        <v>119</v>
      </c>
      <c r="C46" s="8" t="s">
        <v>120</v>
      </c>
      <c r="D46" s="8" t="s">
        <v>121</v>
      </c>
      <c r="E46" s="8" t="s">
        <v>115</v>
      </c>
      <c r="F46" s="8">
        <v>4.97</v>
      </c>
      <c r="G46" s="8">
        <v>41.3</v>
      </c>
      <c r="H46" s="8">
        <v>2.06</v>
      </c>
      <c r="I46" s="8">
        <v>0.4</v>
      </c>
      <c r="J46" s="8">
        <v>2.2400000000000002</v>
      </c>
      <c r="K46" s="2" t="str">
        <f t="shared" si="0"/>
        <v>Actual</v>
      </c>
      <c r="L46" s="1">
        <f t="shared" si="1"/>
        <v>8.0482897384305794</v>
      </c>
      <c r="M46" s="1">
        <f t="shared" si="2"/>
        <v>45.0704225352113</v>
      </c>
      <c r="N46" s="1" t="str">
        <f t="shared" si="3"/>
        <v>Manufacturer</v>
      </c>
    </row>
    <row r="47" spans="1:14">
      <c r="A47" s="8">
        <v>2021</v>
      </c>
      <c r="B47" s="8" t="s">
        <v>119</v>
      </c>
      <c r="C47" s="8" t="s">
        <v>120</v>
      </c>
      <c r="D47" s="8" t="s">
        <v>121</v>
      </c>
      <c r="E47" s="8" t="s">
        <v>115</v>
      </c>
      <c r="F47" s="8">
        <v>6.63</v>
      </c>
      <c r="G47" s="8">
        <v>39.700000000000003</v>
      </c>
      <c r="H47" s="8">
        <v>2.63</v>
      </c>
      <c r="I47" s="8">
        <v>0.53</v>
      </c>
      <c r="J47" s="8">
        <v>2.98</v>
      </c>
      <c r="K47" s="2" t="str">
        <f t="shared" si="0"/>
        <v>Actual</v>
      </c>
      <c r="L47" s="1">
        <f t="shared" si="1"/>
        <v>7.9939668174962302</v>
      </c>
      <c r="M47" s="1">
        <f t="shared" si="2"/>
        <v>44.947209653092003</v>
      </c>
      <c r="N47" s="1" t="str">
        <f t="shared" si="3"/>
        <v>Manufacturer</v>
      </c>
    </row>
    <row r="48" spans="1:14">
      <c r="A48" s="8">
        <v>2022</v>
      </c>
      <c r="B48" s="8" t="s">
        <v>119</v>
      </c>
      <c r="C48" s="8" t="s">
        <v>120</v>
      </c>
      <c r="D48" s="8" t="s">
        <v>121</v>
      </c>
      <c r="E48" s="8" t="s">
        <v>115</v>
      </c>
      <c r="F48" s="8">
        <v>8</v>
      </c>
      <c r="G48" s="8">
        <v>39.799999999999997</v>
      </c>
      <c r="H48" s="8">
        <v>3.18</v>
      </c>
      <c r="I48" s="8">
        <v>0.64</v>
      </c>
      <c r="J48" s="8">
        <v>3.6</v>
      </c>
      <c r="K48" s="2" t="str">
        <f t="shared" si="0"/>
        <v>Actual</v>
      </c>
      <c r="L48" s="1">
        <f t="shared" si="1"/>
        <v>8</v>
      </c>
      <c r="M48" s="1">
        <f t="shared" si="2"/>
        <v>45</v>
      </c>
      <c r="N48" s="1" t="str">
        <f t="shared" si="3"/>
        <v>Manufacturer</v>
      </c>
    </row>
    <row r="49" spans="1:14">
      <c r="A49" s="8">
        <v>2023</v>
      </c>
      <c r="B49" s="8" t="s">
        <v>119</v>
      </c>
      <c r="C49" s="8" t="s">
        <v>120</v>
      </c>
      <c r="D49" s="8" t="s">
        <v>121</v>
      </c>
      <c r="E49" s="8" t="s">
        <v>115</v>
      </c>
      <c r="F49" s="8">
        <v>7.03</v>
      </c>
      <c r="G49" s="8">
        <v>35.700000000000003</v>
      </c>
      <c r="H49" s="8">
        <v>2.5099999999999998</v>
      </c>
      <c r="I49" s="8">
        <v>0.56000000000000005</v>
      </c>
      <c r="J49" s="8">
        <v>3.17</v>
      </c>
      <c r="K49" s="2" t="str">
        <f t="shared" si="0"/>
        <v>Actual</v>
      </c>
      <c r="L49" s="1">
        <f t="shared" si="1"/>
        <v>7.9658605974395398</v>
      </c>
      <c r="M49" s="1">
        <f t="shared" si="2"/>
        <v>45.092460881934599</v>
      </c>
      <c r="N49" s="1" t="str">
        <f t="shared" si="3"/>
        <v>Manufacturer</v>
      </c>
    </row>
    <row r="50" spans="1:14">
      <c r="A50" s="8">
        <v>2024</v>
      </c>
      <c r="B50" s="8" t="s">
        <v>119</v>
      </c>
      <c r="C50" s="8" t="s">
        <v>120</v>
      </c>
      <c r="D50" s="8" t="s">
        <v>121</v>
      </c>
      <c r="E50" s="8" t="s">
        <v>115</v>
      </c>
      <c r="F50" s="8">
        <v>6.54</v>
      </c>
      <c r="G50" s="8">
        <v>37</v>
      </c>
      <c r="H50" s="8">
        <v>2.42</v>
      </c>
      <c r="I50" s="8">
        <v>0.52</v>
      </c>
      <c r="J50" s="8">
        <v>2.94</v>
      </c>
      <c r="K50" s="2" t="str">
        <f t="shared" si="0"/>
        <v>Actual</v>
      </c>
      <c r="L50" s="1">
        <f t="shared" si="1"/>
        <v>7.9510703363914397</v>
      </c>
      <c r="M50" s="1">
        <f t="shared" si="2"/>
        <v>44.954128440367001</v>
      </c>
      <c r="N50" s="1" t="str">
        <f t="shared" si="3"/>
        <v>Manufacturer</v>
      </c>
    </row>
    <row r="51" spans="1:14">
      <c r="A51" s="8">
        <v>2025</v>
      </c>
      <c r="B51" s="8" t="s">
        <v>119</v>
      </c>
      <c r="C51" s="8" t="s">
        <v>120</v>
      </c>
      <c r="D51" s="8" t="s">
        <v>121</v>
      </c>
      <c r="E51" s="8" t="s">
        <v>115</v>
      </c>
      <c r="F51" s="8">
        <v>7.24</v>
      </c>
      <c r="G51" s="8">
        <v>37.299999999999997</v>
      </c>
      <c r="H51" s="8">
        <v>2.7</v>
      </c>
      <c r="I51" s="8">
        <v>0.57999999999999996</v>
      </c>
      <c r="J51" s="8">
        <v>3.26</v>
      </c>
      <c r="K51" s="2" t="str">
        <f t="shared" si="0"/>
        <v>Forecast</v>
      </c>
      <c r="L51" s="1">
        <f t="shared" si="1"/>
        <v>8.0110497237568996</v>
      </c>
      <c r="M51" s="1">
        <f t="shared" si="2"/>
        <v>45.027624309392301</v>
      </c>
      <c r="N51" s="1" t="str">
        <f t="shared" si="3"/>
        <v>Manufacturer</v>
      </c>
    </row>
    <row r="52" spans="1:14">
      <c r="A52" s="8">
        <v>2026</v>
      </c>
      <c r="B52" s="8" t="s">
        <v>119</v>
      </c>
      <c r="C52" s="8" t="s">
        <v>120</v>
      </c>
      <c r="D52" s="8" t="s">
        <v>121</v>
      </c>
      <c r="E52" s="8" t="s">
        <v>115</v>
      </c>
      <c r="F52" s="8">
        <v>7.42</v>
      </c>
      <c r="G52" s="8">
        <v>43.9</v>
      </c>
      <c r="H52" s="8">
        <v>3.26</v>
      </c>
      <c r="I52" s="8">
        <v>0.59</v>
      </c>
      <c r="J52" s="8">
        <v>3.34</v>
      </c>
      <c r="K52" s="2" t="str">
        <f t="shared" si="0"/>
        <v>Forecast</v>
      </c>
      <c r="L52" s="1">
        <f t="shared" si="1"/>
        <v>7.9514824797843699</v>
      </c>
      <c r="M52" s="1">
        <f t="shared" si="2"/>
        <v>45.013477088948797</v>
      </c>
      <c r="N52" s="1" t="str">
        <f t="shared" si="3"/>
        <v>Manufacturer</v>
      </c>
    </row>
    <row r="53" spans="1:14">
      <c r="A53" s="8">
        <v>2010</v>
      </c>
      <c r="B53" s="8" t="s">
        <v>122</v>
      </c>
      <c r="C53" s="8" t="s">
        <v>122</v>
      </c>
      <c r="D53" s="8" t="s">
        <v>114</v>
      </c>
      <c r="E53" s="8" t="s">
        <v>115</v>
      </c>
      <c r="F53" s="8">
        <v>4.3499999999999996</v>
      </c>
      <c r="G53" s="8">
        <v>42.2</v>
      </c>
      <c r="H53" s="8">
        <v>1.84</v>
      </c>
      <c r="I53" s="8">
        <v>0.35</v>
      </c>
      <c r="J53" s="8">
        <v>1.96</v>
      </c>
      <c r="K53" s="2" t="str">
        <f t="shared" si="0"/>
        <v>Actual</v>
      </c>
      <c r="L53" s="1">
        <f t="shared" si="1"/>
        <v>8.0459770114942497</v>
      </c>
      <c r="M53" s="1">
        <f t="shared" si="2"/>
        <v>45.057471264367798</v>
      </c>
      <c r="N53" s="1" t="str">
        <f t="shared" si="3"/>
        <v>Manufacturer</v>
      </c>
    </row>
    <row r="54" spans="1:14">
      <c r="A54" s="8">
        <v>2011</v>
      </c>
      <c r="B54" s="8" t="s">
        <v>122</v>
      </c>
      <c r="C54" s="8" t="s">
        <v>122</v>
      </c>
      <c r="D54" s="8" t="s">
        <v>114</v>
      </c>
      <c r="E54" s="8" t="s">
        <v>115</v>
      </c>
      <c r="F54" s="8">
        <v>4.32</v>
      </c>
      <c r="G54" s="8">
        <v>39.4</v>
      </c>
      <c r="H54" s="8">
        <v>1.7</v>
      </c>
      <c r="I54" s="8">
        <v>0.35</v>
      </c>
      <c r="J54" s="8">
        <v>1.94</v>
      </c>
      <c r="K54" s="2" t="str">
        <f t="shared" si="0"/>
        <v>Actual</v>
      </c>
      <c r="L54" s="1">
        <f t="shared" si="1"/>
        <v>8.1018518518518494</v>
      </c>
      <c r="M54" s="1">
        <f t="shared" si="2"/>
        <v>44.907407407407398</v>
      </c>
      <c r="N54" s="1" t="str">
        <f t="shared" si="3"/>
        <v>Manufacturer</v>
      </c>
    </row>
    <row r="55" spans="1:14">
      <c r="A55" s="8">
        <v>2012</v>
      </c>
      <c r="B55" s="8" t="s">
        <v>122</v>
      </c>
      <c r="C55" s="8" t="s">
        <v>122</v>
      </c>
      <c r="D55" s="8" t="s">
        <v>114</v>
      </c>
      <c r="E55" s="8" t="s">
        <v>115</v>
      </c>
      <c r="F55" s="8">
        <v>4.3499999999999996</v>
      </c>
      <c r="G55" s="8">
        <v>39</v>
      </c>
      <c r="H55" s="8">
        <v>1.7</v>
      </c>
      <c r="I55" s="8">
        <v>0.35</v>
      </c>
      <c r="J55" s="8">
        <v>1.96</v>
      </c>
      <c r="K55" s="2" t="str">
        <f t="shared" si="0"/>
        <v>Actual</v>
      </c>
      <c r="L55" s="1">
        <f t="shared" si="1"/>
        <v>8.0459770114942497</v>
      </c>
      <c r="M55" s="1">
        <f t="shared" si="2"/>
        <v>45.057471264367798</v>
      </c>
      <c r="N55" s="1" t="str">
        <f t="shared" si="3"/>
        <v>Manufacturer</v>
      </c>
    </row>
    <row r="56" spans="1:14">
      <c r="A56" s="8">
        <v>2013</v>
      </c>
      <c r="B56" s="8" t="s">
        <v>122</v>
      </c>
      <c r="C56" s="8" t="s">
        <v>122</v>
      </c>
      <c r="D56" s="8" t="s">
        <v>114</v>
      </c>
      <c r="E56" s="8" t="s">
        <v>115</v>
      </c>
      <c r="F56" s="8">
        <v>4.6399999999999997</v>
      </c>
      <c r="G56" s="8">
        <v>34.799999999999997</v>
      </c>
      <c r="H56" s="8">
        <v>1.61</v>
      </c>
      <c r="I56" s="8">
        <v>0.37</v>
      </c>
      <c r="J56" s="8">
        <v>2.09</v>
      </c>
      <c r="K56" s="2" t="str">
        <f t="shared" si="0"/>
        <v>Actual</v>
      </c>
      <c r="L56" s="1">
        <f t="shared" si="1"/>
        <v>7.9741379310344804</v>
      </c>
      <c r="M56" s="1">
        <f t="shared" si="2"/>
        <v>45.0431034482759</v>
      </c>
      <c r="N56" s="1" t="str">
        <f t="shared" si="3"/>
        <v>Manufacturer</v>
      </c>
    </row>
    <row r="57" spans="1:14">
      <c r="A57" s="8">
        <v>2014</v>
      </c>
      <c r="B57" s="8" t="s">
        <v>122</v>
      </c>
      <c r="C57" s="8" t="s">
        <v>122</v>
      </c>
      <c r="D57" s="8" t="s">
        <v>114</v>
      </c>
      <c r="E57" s="8" t="s">
        <v>115</v>
      </c>
      <c r="F57" s="8">
        <v>4.62</v>
      </c>
      <c r="G57" s="8">
        <v>40.700000000000003</v>
      </c>
      <c r="H57" s="8">
        <v>1.88</v>
      </c>
      <c r="I57" s="8">
        <v>0.37</v>
      </c>
      <c r="J57" s="8">
        <v>2.08</v>
      </c>
      <c r="K57" s="2" t="str">
        <f t="shared" si="0"/>
        <v>Actual</v>
      </c>
      <c r="L57" s="1">
        <f t="shared" si="1"/>
        <v>8.0086580086580099</v>
      </c>
      <c r="M57" s="1">
        <f t="shared" si="2"/>
        <v>45.021645021645</v>
      </c>
      <c r="N57" s="1" t="str">
        <f t="shared" si="3"/>
        <v>Manufacturer</v>
      </c>
    </row>
    <row r="58" spans="1:14">
      <c r="A58" s="8">
        <v>2015</v>
      </c>
      <c r="B58" s="8" t="s">
        <v>122</v>
      </c>
      <c r="C58" s="8" t="s">
        <v>122</v>
      </c>
      <c r="D58" s="8" t="s">
        <v>114</v>
      </c>
      <c r="E58" s="8" t="s">
        <v>115</v>
      </c>
      <c r="F58" s="8">
        <v>4.5199999999999996</v>
      </c>
      <c r="G58" s="8">
        <v>35.700000000000003</v>
      </c>
      <c r="H58" s="8">
        <v>1.61</v>
      </c>
      <c r="I58" s="8">
        <v>0.36</v>
      </c>
      <c r="J58" s="8">
        <v>2.0299999999999998</v>
      </c>
      <c r="K58" s="2" t="str">
        <f t="shared" si="0"/>
        <v>Actual</v>
      </c>
      <c r="L58" s="1">
        <f t="shared" si="1"/>
        <v>7.9646017699114999</v>
      </c>
      <c r="M58" s="1">
        <f t="shared" si="2"/>
        <v>44.911504424778798</v>
      </c>
      <c r="N58" s="1" t="str">
        <f t="shared" si="3"/>
        <v>Manufacturer</v>
      </c>
    </row>
    <row r="59" spans="1:14">
      <c r="A59" s="8">
        <v>2016</v>
      </c>
      <c r="B59" s="8" t="s">
        <v>122</v>
      </c>
      <c r="C59" s="8" t="s">
        <v>122</v>
      </c>
      <c r="D59" s="8" t="s">
        <v>114</v>
      </c>
      <c r="E59" s="8" t="s">
        <v>115</v>
      </c>
      <c r="F59" s="8">
        <v>4.71</v>
      </c>
      <c r="G59" s="8">
        <v>38.4</v>
      </c>
      <c r="H59" s="8">
        <v>1.81</v>
      </c>
      <c r="I59" s="8">
        <v>0.38</v>
      </c>
      <c r="J59" s="8">
        <v>2.12</v>
      </c>
      <c r="K59" s="2" t="str">
        <f t="shared" si="0"/>
        <v>Actual</v>
      </c>
      <c r="L59" s="1">
        <f t="shared" si="1"/>
        <v>8.0679405520169905</v>
      </c>
      <c r="M59" s="1">
        <f t="shared" si="2"/>
        <v>45.010615711252697</v>
      </c>
      <c r="N59" s="1" t="str">
        <f t="shared" si="3"/>
        <v>Manufacturer</v>
      </c>
    </row>
    <row r="60" spans="1:14">
      <c r="A60" s="8">
        <v>2017</v>
      </c>
      <c r="B60" s="8" t="s">
        <v>122</v>
      </c>
      <c r="C60" s="8" t="s">
        <v>122</v>
      </c>
      <c r="D60" s="8" t="s">
        <v>114</v>
      </c>
      <c r="E60" s="8" t="s">
        <v>115</v>
      </c>
      <c r="F60" s="8">
        <v>4.83</v>
      </c>
      <c r="G60" s="8">
        <v>40.1</v>
      </c>
      <c r="H60" s="8">
        <v>1.94</v>
      </c>
      <c r="I60" s="8">
        <v>0.39</v>
      </c>
      <c r="J60" s="8">
        <v>2.1800000000000002</v>
      </c>
      <c r="K60" s="2" t="str">
        <f t="shared" si="0"/>
        <v>Actual</v>
      </c>
      <c r="L60" s="1">
        <f t="shared" si="1"/>
        <v>8.0745341614906803</v>
      </c>
      <c r="M60" s="1">
        <f t="shared" si="2"/>
        <v>45.134575569358198</v>
      </c>
      <c r="N60" s="1" t="str">
        <f t="shared" si="3"/>
        <v>Manufacturer</v>
      </c>
    </row>
    <row r="61" spans="1:14">
      <c r="A61" s="8">
        <v>2018</v>
      </c>
      <c r="B61" s="8" t="s">
        <v>122</v>
      </c>
      <c r="C61" s="8" t="s">
        <v>122</v>
      </c>
      <c r="D61" s="8" t="s">
        <v>114</v>
      </c>
      <c r="E61" s="8" t="s">
        <v>115</v>
      </c>
      <c r="F61" s="8">
        <v>5.14</v>
      </c>
      <c r="G61" s="8">
        <v>39.299999999999997</v>
      </c>
      <c r="H61" s="8">
        <v>2.02</v>
      </c>
      <c r="I61" s="8">
        <v>0.41</v>
      </c>
      <c r="J61" s="8">
        <v>2.31</v>
      </c>
      <c r="K61" s="2" t="str">
        <f t="shared" si="0"/>
        <v>Actual</v>
      </c>
      <c r="L61" s="1">
        <f t="shared" si="1"/>
        <v>7.9766536964980501</v>
      </c>
      <c r="M61" s="1">
        <f t="shared" si="2"/>
        <v>44.941634241245097</v>
      </c>
      <c r="N61" s="1" t="str">
        <f t="shared" si="3"/>
        <v>Manufacturer</v>
      </c>
    </row>
    <row r="62" spans="1:14">
      <c r="A62" s="8">
        <v>2019</v>
      </c>
      <c r="B62" s="8" t="s">
        <v>122</v>
      </c>
      <c r="C62" s="8" t="s">
        <v>122</v>
      </c>
      <c r="D62" s="8" t="s">
        <v>114</v>
      </c>
      <c r="E62" s="8" t="s">
        <v>115</v>
      </c>
      <c r="F62" s="8">
        <v>5.29</v>
      </c>
      <c r="G62" s="8">
        <v>40.5</v>
      </c>
      <c r="H62" s="8">
        <v>2.14</v>
      </c>
      <c r="I62" s="8">
        <v>0.42</v>
      </c>
      <c r="J62" s="8">
        <v>2.38</v>
      </c>
      <c r="K62" s="2" t="str">
        <f t="shared" si="0"/>
        <v>Actual</v>
      </c>
      <c r="L62" s="1">
        <f t="shared" si="1"/>
        <v>7.9395085066162601</v>
      </c>
      <c r="M62" s="1">
        <f t="shared" si="2"/>
        <v>44.990548204158799</v>
      </c>
      <c r="N62" s="1" t="str">
        <f t="shared" si="3"/>
        <v>Manufacturer</v>
      </c>
    </row>
    <row r="63" spans="1:14">
      <c r="A63" s="8">
        <v>2020</v>
      </c>
      <c r="B63" s="8" t="s">
        <v>122</v>
      </c>
      <c r="C63" s="8" t="s">
        <v>122</v>
      </c>
      <c r="D63" s="8" t="s">
        <v>114</v>
      </c>
      <c r="E63" s="8" t="s">
        <v>115</v>
      </c>
      <c r="F63" s="8">
        <v>6.04</v>
      </c>
      <c r="G63" s="8">
        <v>44.1</v>
      </c>
      <c r="H63" s="8">
        <v>2.66</v>
      </c>
      <c r="I63" s="8">
        <v>0.48</v>
      </c>
      <c r="J63" s="8">
        <v>2.72</v>
      </c>
      <c r="K63" s="2" t="str">
        <f t="shared" si="0"/>
        <v>Actual</v>
      </c>
      <c r="L63" s="1">
        <f t="shared" si="1"/>
        <v>7.9470198675496704</v>
      </c>
      <c r="M63" s="1">
        <f t="shared" si="2"/>
        <v>45.033112582781499</v>
      </c>
      <c r="N63" s="1" t="str">
        <f t="shared" si="3"/>
        <v>Manufacturer</v>
      </c>
    </row>
    <row r="64" spans="1:14">
      <c r="A64" s="8">
        <v>2021</v>
      </c>
      <c r="B64" s="8" t="s">
        <v>122</v>
      </c>
      <c r="C64" s="8" t="s">
        <v>122</v>
      </c>
      <c r="D64" s="8" t="s">
        <v>114</v>
      </c>
      <c r="E64" s="8" t="s">
        <v>115</v>
      </c>
      <c r="F64" s="8">
        <v>7.69</v>
      </c>
      <c r="G64" s="8">
        <v>41.1</v>
      </c>
      <c r="H64" s="8">
        <v>3.16</v>
      </c>
      <c r="I64" s="8">
        <v>0.62</v>
      </c>
      <c r="J64" s="8">
        <v>3.46</v>
      </c>
      <c r="K64" s="2" t="str">
        <f t="shared" si="0"/>
        <v>Actual</v>
      </c>
      <c r="L64" s="1">
        <f t="shared" si="1"/>
        <v>8.0624187256176807</v>
      </c>
      <c r="M64" s="1">
        <f t="shared" si="2"/>
        <v>44.993498049414796</v>
      </c>
      <c r="N64" s="1" t="str">
        <f t="shared" si="3"/>
        <v>Manufacturer</v>
      </c>
    </row>
    <row r="65" spans="1:14">
      <c r="A65" s="8">
        <v>2022</v>
      </c>
      <c r="B65" s="8" t="s">
        <v>122</v>
      </c>
      <c r="C65" s="8" t="s">
        <v>122</v>
      </c>
      <c r="D65" s="8" t="s">
        <v>114</v>
      </c>
      <c r="E65" s="8" t="s">
        <v>115</v>
      </c>
      <c r="F65" s="8">
        <v>9.4</v>
      </c>
      <c r="G65" s="8">
        <v>36.4</v>
      </c>
      <c r="H65" s="8">
        <v>3.43</v>
      </c>
      <c r="I65" s="8">
        <v>0.75</v>
      </c>
      <c r="J65" s="8">
        <v>4.2300000000000004</v>
      </c>
      <c r="K65" s="2" t="str">
        <f t="shared" si="0"/>
        <v>Actual</v>
      </c>
      <c r="L65" s="1">
        <f t="shared" si="1"/>
        <v>7.9787234042553203</v>
      </c>
      <c r="M65" s="1">
        <f t="shared" si="2"/>
        <v>45</v>
      </c>
      <c r="N65" s="1" t="str">
        <f t="shared" si="3"/>
        <v>Manufacturer</v>
      </c>
    </row>
    <row r="66" spans="1:14">
      <c r="A66" s="8">
        <v>2023</v>
      </c>
      <c r="B66" s="8" t="s">
        <v>122</v>
      </c>
      <c r="C66" s="8" t="s">
        <v>122</v>
      </c>
      <c r="D66" s="8" t="s">
        <v>114</v>
      </c>
      <c r="E66" s="8" t="s">
        <v>115</v>
      </c>
      <c r="F66" s="8">
        <v>6.87</v>
      </c>
      <c r="G66" s="8">
        <v>37.200000000000003</v>
      </c>
      <c r="H66" s="8">
        <v>2.56</v>
      </c>
      <c r="I66" s="8">
        <v>0.55000000000000004</v>
      </c>
      <c r="J66" s="8">
        <v>3.09</v>
      </c>
      <c r="K66" s="2" t="str">
        <f t="shared" si="0"/>
        <v>Actual</v>
      </c>
      <c r="L66" s="1">
        <f t="shared" si="1"/>
        <v>8.0058224163027703</v>
      </c>
      <c r="M66" s="1">
        <f t="shared" si="2"/>
        <v>44.978165938864599</v>
      </c>
      <c r="N66" s="1" t="str">
        <f t="shared" si="3"/>
        <v>Manufacturer</v>
      </c>
    </row>
    <row r="67" spans="1:14">
      <c r="A67" s="8">
        <v>2024</v>
      </c>
      <c r="B67" s="8" t="s">
        <v>122</v>
      </c>
      <c r="C67" s="8" t="s">
        <v>122</v>
      </c>
      <c r="D67" s="8" t="s">
        <v>114</v>
      </c>
      <c r="E67" s="8" t="s">
        <v>115</v>
      </c>
      <c r="F67" s="8">
        <v>7.41</v>
      </c>
      <c r="G67" s="8">
        <v>35.9</v>
      </c>
      <c r="H67" s="8">
        <v>2.66</v>
      </c>
      <c r="I67" s="8">
        <v>0.59</v>
      </c>
      <c r="J67" s="8">
        <v>3.34</v>
      </c>
      <c r="K67" s="2" t="str">
        <f t="shared" ref="K67:K130" si="4">IF(A67&gt;=2025,"Forecast","Actual")</f>
        <v>Actual</v>
      </c>
      <c r="L67" s="1">
        <f t="shared" ref="L67:L130" si="5">IF(F67=0,0,I67/F67*100)</f>
        <v>7.9622132253711202</v>
      </c>
      <c r="M67" s="1">
        <f t="shared" ref="M67:M130" si="6">IF(F67=0,0,J67/F67*100)</f>
        <v>45.0742240215924</v>
      </c>
      <c r="N67" s="1" t="str">
        <f t="shared" ref="N67:N130" si="7">IF(LEFT(E67,7)="fabless","Fabless",IF(LEFT(E67,9)="equipment","Equipment",IF(E67="foundry","Manufacturer",IF(LEFT(E67,3)="idm","Manufacturer",IF(E67="eda_software","EDA Software","Other")))))</f>
        <v>Manufacturer</v>
      </c>
    </row>
    <row r="68" spans="1:14">
      <c r="A68" s="8">
        <v>2025</v>
      </c>
      <c r="B68" s="8" t="s">
        <v>122</v>
      </c>
      <c r="C68" s="8" t="s">
        <v>122</v>
      </c>
      <c r="D68" s="8" t="s">
        <v>114</v>
      </c>
      <c r="E68" s="8" t="s">
        <v>115</v>
      </c>
      <c r="F68" s="8">
        <v>8.15</v>
      </c>
      <c r="G68" s="8">
        <v>39.299999999999997</v>
      </c>
      <c r="H68" s="8">
        <v>3.21</v>
      </c>
      <c r="I68" s="8">
        <v>0.65</v>
      </c>
      <c r="J68" s="8">
        <v>3.67</v>
      </c>
      <c r="K68" s="2" t="str">
        <f t="shared" si="4"/>
        <v>Forecast</v>
      </c>
      <c r="L68" s="1">
        <f t="shared" si="5"/>
        <v>7.9754601226993902</v>
      </c>
      <c r="M68" s="1">
        <f t="shared" si="6"/>
        <v>45.0306748466258</v>
      </c>
      <c r="N68" s="1" t="str">
        <f t="shared" si="7"/>
        <v>Manufacturer</v>
      </c>
    </row>
    <row r="69" spans="1:14">
      <c r="A69" s="8">
        <v>2026</v>
      </c>
      <c r="B69" s="8" t="s">
        <v>122</v>
      </c>
      <c r="C69" s="8" t="s">
        <v>122</v>
      </c>
      <c r="D69" s="8" t="s">
        <v>114</v>
      </c>
      <c r="E69" s="8" t="s">
        <v>115</v>
      </c>
      <c r="F69" s="8">
        <v>8.1300000000000008</v>
      </c>
      <c r="G69" s="8">
        <v>37</v>
      </c>
      <c r="H69" s="8">
        <v>3.01</v>
      </c>
      <c r="I69" s="8">
        <v>0.65</v>
      </c>
      <c r="J69" s="8">
        <v>3.66</v>
      </c>
      <c r="K69" s="2" t="str">
        <f t="shared" si="4"/>
        <v>Forecast</v>
      </c>
      <c r="L69" s="1">
        <f t="shared" si="5"/>
        <v>7.9950799507995098</v>
      </c>
      <c r="M69" s="1">
        <f t="shared" si="6"/>
        <v>45.018450184501802</v>
      </c>
      <c r="N69" s="1" t="str">
        <f t="shared" si="7"/>
        <v>Manufacturer</v>
      </c>
    </row>
    <row r="70" spans="1:14">
      <c r="A70" s="8">
        <v>2010</v>
      </c>
      <c r="B70" s="8" t="s">
        <v>123</v>
      </c>
      <c r="C70" s="25" t="s">
        <v>124</v>
      </c>
      <c r="D70" s="8" t="s">
        <v>125</v>
      </c>
      <c r="E70" s="8" t="s">
        <v>115</v>
      </c>
      <c r="F70" s="8">
        <v>1.62</v>
      </c>
      <c r="G70" s="8">
        <v>42.5</v>
      </c>
      <c r="H70" s="8">
        <v>0.69</v>
      </c>
      <c r="I70" s="8">
        <v>0.13</v>
      </c>
      <c r="J70" s="8">
        <v>0.73</v>
      </c>
      <c r="K70" s="2" t="str">
        <f t="shared" si="4"/>
        <v>Actual</v>
      </c>
      <c r="L70" s="1">
        <f t="shared" si="5"/>
        <v>8.0246913580246897</v>
      </c>
      <c r="M70" s="1">
        <f t="shared" si="6"/>
        <v>45.061728395061699</v>
      </c>
      <c r="N70" s="1" t="str">
        <f t="shared" si="7"/>
        <v>Manufacturer</v>
      </c>
    </row>
    <row r="71" spans="1:14">
      <c r="A71" s="8">
        <v>2011</v>
      </c>
      <c r="B71" s="8" t="s">
        <v>123</v>
      </c>
      <c r="C71" s="25" t="s">
        <v>124</v>
      </c>
      <c r="D71" s="8" t="s">
        <v>125</v>
      </c>
      <c r="E71" s="8" t="s">
        <v>115</v>
      </c>
      <c r="F71" s="8">
        <v>1.83</v>
      </c>
      <c r="G71" s="8">
        <v>48.7</v>
      </c>
      <c r="H71" s="8">
        <v>0.89</v>
      </c>
      <c r="I71" s="8">
        <v>0.15</v>
      </c>
      <c r="J71" s="8">
        <v>0.82</v>
      </c>
      <c r="K71" s="2" t="str">
        <f t="shared" si="4"/>
        <v>Actual</v>
      </c>
      <c r="L71" s="1">
        <f t="shared" si="5"/>
        <v>8.1967213114754092</v>
      </c>
      <c r="M71" s="1">
        <f t="shared" si="6"/>
        <v>44.808743169398902</v>
      </c>
      <c r="N71" s="1" t="str">
        <f t="shared" si="7"/>
        <v>Manufacturer</v>
      </c>
    </row>
    <row r="72" spans="1:14">
      <c r="A72" s="8">
        <v>2012</v>
      </c>
      <c r="B72" s="8" t="s">
        <v>123</v>
      </c>
      <c r="C72" s="25" t="s">
        <v>124</v>
      </c>
      <c r="D72" s="8" t="s">
        <v>125</v>
      </c>
      <c r="E72" s="8" t="s">
        <v>115</v>
      </c>
      <c r="F72" s="8">
        <v>1.86</v>
      </c>
      <c r="G72" s="8">
        <v>37</v>
      </c>
      <c r="H72" s="8">
        <v>0.69</v>
      </c>
      <c r="I72" s="8">
        <v>0.15</v>
      </c>
      <c r="J72" s="8">
        <v>0.84</v>
      </c>
      <c r="K72" s="2" t="str">
        <f t="shared" si="4"/>
        <v>Actual</v>
      </c>
      <c r="L72" s="1">
        <f t="shared" si="5"/>
        <v>8.0645161290322598</v>
      </c>
      <c r="M72" s="1">
        <f t="shared" si="6"/>
        <v>45.161290322580598</v>
      </c>
      <c r="N72" s="1" t="str">
        <f t="shared" si="7"/>
        <v>Manufacturer</v>
      </c>
    </row>
    <row r="73" spans="1:14">
      <c r="A73" s="8">
        <v>2013</v>
      </c>
      <c r="B73" s="8" t="s">
        <v>123</v>
      </c>
      <c r="C73" s="25" t="s">
        <v>124</v>
      </c>
      <c r="D73" s="8" t="s">
        <v>125</v>
      </c>
      <c r="E73" s="8" t="s">
        <v>115</v>
      </c>
      <c r="F73" s="8">
        <v>1.84</v>
      </c>
      <c r="G73" s="8">
        <v>40.799999999999997</v>
      </c>
      <c r="H73" s="8">
        <v>0.75</v>
      </c>
      <c r="I73" s="8">
        <v>0.15</v>
      </c>
      <c r="J73" s="8">
        <v>0.83</v>
      </c>
      <c r="K73" s="2" t="str">
        <f t="shared" si="4"/>
        <v>Actual</v>
      </c>
      <c r="L73" s="1">
        <f t="shared" si="5"/>
        <v>8.1521739130434803</v>
      </c>
      <c r="M73" s="1">
        <f t="shared" si="6"/>
        <v>45.1086956521739</v>
      </c>
      <c r="N73" s="1" t="str">
        <f t="shared" si="7"/>
        <v>Manufacturer</v>
      </c>
    </row>
    <row r="74" spans="1:14">
      <c r="A74" s="8">
        <v>2014</v>
      </c>
      <c r="B74" s="8" t="s">
        <v>123</v>
      </c>
      <c r="C74" s="25" t="s">
        <v>124</v>
      </c>
      <c r="D74" s="8" t="s">
        <v>125</v>
      </c>
      <c r="E74" s="8" t="s">
        <v>115</v>
      </c>
      <c r="F74" s="8">
        <v>2.0299999999999998</v>
      </c>
      <c r="G74" s="8">
        <v>38.799999999999997</v>
      </c>
      <c r="H74" s="8">
        <v>0.79</v>
      </c>
      <c r="I74" s="8">
        <v>0.16</v>
      </c>
      <c r="J74" s="8">
        <v>0.91</v>
      </c>
      <c r="K74" s="2" t="str">
        <f t="shared" si="4"/>
        <v>Actual</v>
      </c>
      <c r="L74" s="1">
        <f t="shared" si="5"/>
        <v>7.8817733990147802</v>
      </c>
      <c r="M74" s="1">
        <f t="shared" si="6"/>
        <v>44.827586206896598</v>
      </c>
      <c r="N74" s="1" t="str">
        <f t="shared" si="7"/>
        <v>Manufacturer</v>
      </c>
    </row>
    <row r="75" spans="1:14">
      <c r="A75" s="8">
        <v>2015</v>
      </c>
      <c r="B75" s="8" t="s">
        <v>123</v>
      </c>
      <c r="C75" s="25" t="s">
        <v>124</v>
      </c>
      <c r="D75" s="8" t="s">
        <v>125</v>
      </c>
      <c r="E75" s="8" t="s">
        <v>115</v>
      </c>
      <c r="F75" s="8">
        <v>2.16</v>
      </c>
      <c r="G75" s="8">
        <v>39.6</v>
      </c>
      <c r="H75" s="8">
        <v>0.85</v>
      </c>
      <c r="I75" s="8">
        <v>0.17</v>
      </c>
      <c r="J75" s="8">
        <v>0.97</v>
      </c>
      <c r="K75" s="2" t="str">
        <f t="shared" si="4"/>
        <v>Actual</v>
      </c>
      <c r="L75" s="1">
        <f t="shared" si="5"/>
        <v>7.8703703703703702</v>
      </c>
      <c r="M75" s="1">
        <f t="shared" si="6"/>
        <v>44.907407407407398</v>
      </c>
      <c r="N75" s="1" t="str">
        <f t="shared" si="7"/>
        <v>Manufacturer</v>
      </c>
    </row>
    <row r="76" spans="1:14">
      <c r="A76" s="8">
        <v>2016</v>
      </c>
      <c r="B76" s="8" t="s">
        <v>123</v>
      </c>
      <c r="C76" s="25" t="s">
        <v>124</v>
      </c>
      <c r="D76" s="8" t="s">
        <v>125</v>
      </c>
      <c r="E76" s="8" t="s">
        <v>115</v>
      </c>
      <c r="F76" s="8">
        <v>2.68</v>
      </c>
      <c r="G76" s="8">
        <v>40.5</v>
      </c>
      <c r="H76" s="8">
        <v>1.0900000000000001</v>
      </c>
      <c r="I76" s="8">
        <v>0.21</v>
      </c>
      <c r="J76" s="8">
        <v>1.21</v>
      </c>
      <c r="K76" s="2" t="str">
        <f t="shared" si="4"/>
        <v>Actual</v>
      </c>
      <c r="L76" s="1">
        <f t="shared" si="5"/>
        <v>7.8358208955223896</v>
      </c>
      <c r="M76" s="1">
        <f t="shared" si="6"/>
        <v>45.1492537313433</v>
      </c>
      <c r="N76" s="1" t="str">
        <f t="shared" si="7"/>
        <v>Manufacturer</v>
      </c>
    </row>
    <row r="77" spans="1:14">
      <c r="A77" s="8">
        <v>2017</v>
      </c>
      <c r="B77" s="8" t="s">
        <v>123</v>
      </c>
      <c r="C77" s="25" t="s">
        <v>124</v>
      </c>
      <c r="D77" s="8" t="s">
        <v>125</v>
      </c>
      <c r="E77" s="8" t="s">
        <v>115</v>
      </c>
      <c r="F77" s="8">
        <v>2.99</v>
      </c>
      <c r="G77" s="8">
        <v>36.9</v>
      </c>
      <c r="H77" s="8">
        <v>1.1000000000000001</v>
      </c>
      <c r="I77" s="8">
        <v>0.24</v>
      </c>
      <c r="J77" s="8">
        <v>1.34</v>
      </c>
      <c r="K77" s="2" t="str">
        <f t="shared" si="4"/>
        <v>Actual</v>
      </c>
      <c r="L77" s="1">
        <f t="shared" si="5"/>
        <v>8.0267558528428093</v>
      </c>
      <c r="M77" s="1">
        <f t="shared" si="6"/>
        <v>44.816053511705697</v>
      </c>
      <c r="N77" s="1" t="str">
        <f t="shared" si="7"/>
        <v>Manufacturer</v>
      </c>
    </row>
    <row r="78" spans="1:14">
      <c r="A78" s="8">
        <v>2018</v>
      </c>
      <c r="B78" s="8" t="s">
        <v>123</v>
      </c>
      <c r="C78" s="25" t="s">
        <v>124</v>
      </c>
      <c r="D78" s="8" t="s">
        <v>125</v>
      </c>
      <c r="E78" s="8" t="s">
        <v>115</v>
      </c>
      <c r="F78" s="8">
        <v>3.23</v>
      </c>
      <c r="G78" s="8">
        <v>38.5</v>
      </c>
      <c r="H78" s="8">
        <v>1.25</v>
      </c>
      <c r="I78" s="8">
        <v>0.26</v>
      </c>
      <c r="J78" s="8">
        <v>1.46</v>
      </c>
      <c r="K78" s="2" t="str">
        <f t="shared" si="4"/>
        <v>Actual</v>
      </c>
      <c r="L78" s="1">
        <f t="shared" si="5"/>
        <v>8.0495356037151709</v>
      </c>
      <c r="M78" s="1">
        <f t="shared" si="6"/>
        <v>45.201238390092897</v>
      </c>
      <c r="N78" s="1" t="str">
        <f t="shared" si="7"/>
        <v>Manufacturer</v>
      </c>
    </row>
    <row r="79" spans="1:14">
      <c r="A79" s="8">
        <v>2019</v>
      </c>
      <c r="B79" s="8" t="s">
        <v>123</v>
      </c>
      <c r="C79" s="25" t="s">
        <v>124</v>
      </c>
      <c r="D79" s="8" t="s">
        <v>125</v>
      </c>
      <c r="E79" s="8" t="s">
        <v>115</v>
      </c>
      <c r="F79" s="8">
        <v>3.64</v>
      </c>
      <c r="G79" s="8">
        <v>45.3</v>
      </c>
      <c r="H79" s="8">
        <v>1.65</v>
      </c>
      <c r="I79" s="8">
        <v>0.28999999999999998</v>
      </c>
      <c r="J79" s="8">
        <v>1.64</v>
      </c>
      <c r="K79" s="2" t="str">
        <f t="shared" si="4"/>
        <v>Actual</v>
      </c>
      <c r="L79" s="1">
        <f t="shared" si="5"/>
        <v>7.9670329670329698</v>
      </c>
      <c r="M79" s="1">
        <f t="shared" si="6"/>
        <v>45.054945054945101</v>
      </c>
      <c r="N79" s="1" t="str">
        <f t="shared" si="7"/>
        <v>Manufacturer</v>
      </c>
    </row>
    <row r="80" spans="1:14">
      <c r="A80" s="8">
        <v>2020</v>
      </c>
      <c r="B80" s="8" t="s">
        <v>123</v>
      </c>
      <c r="C80" s="25" t="s">
        <v>124</v>
      </c>
      <c r="D80" s="8" t="s">
        <v>125</v>
      </c>
      <c r="E80" s="8" t="s">
        <v>115</v>
      </c>
      <c r="F80" s="8">
        <v>3.92</v>
      </c>
      <c r="G80" s="8">
        <v>42.9</v>
      </c>
      <c r="H80" s="8">
        <v>1.68</v>
      </c>
      <c r="I80" s="8">
        <v>0.31</v>
      </c>
      <c r="J80" s="8">
        <v>1.76</v>
      </c>
      <c r="K80" s="2" t="str">
        <f t="shared" si="4"/>
        <v>Actual</v>
      </c>
      <c r="L80" s="1">
        <f t="shared" si="5"/>
        <v>7.9081632653061202</v>
      </c>
      <c r="M80" s="1">
        <f t="shared" si="6"/>
        <v>44.8979591836735</v>
      </c>
      <c r="N80" s="1" t="str">
        <f t="shared" si="7"/>
        <v>Manufacturer</v>
      </c>
    </row>
    <row r="81" spans="1:14">
      <c r="A81" s="8">
        <v>2021</v>
      </c>
      <c r="B81" s="8" t="s">
        <v>123</v>
      </c>
      <c r="C81" s="25" t="s">
        <v>124</v>
      </c>
      <c r="D81" s="8" t="s">
        <v>125</v>
      </c>
      <c r="E81" s="8" t="s">
        <v>115</v>
      </c>
      <c r="F81" s="8">
        <v>5.52</v>
      </c>
      <c r="G81" s="8">
        <v>36.4</v>
      </c>
      <c r="H81" s="8">
        <v>2.0099999999999998</v>
      </c>
      <c r="I81" s="8">
        <v>0.44</v>
      </c>
      <c r="J81" s="8">
        <v>2.48</v>
      </c>
      <c r="K81" s="2" t="str">
        <f t="shared" si="4"/>
        <v>Actual</v>
      </c>
      <c r="L81" s="1">
        <f t="shared" si="5"/>
        <v>7.9710144927536204</v>
      </c>
      <c r="M81" s="1">
        <f t="shared" si="6"/>
        <v>44.927536231884098</v>
      </c>
      <c r="N81" s="1" t="str">
        <f t="shared" si="7"/>
        <v>Manufacturer</v>
      </c>
    </row>
    <row r="82" spans="1:14">
      <c r="A82" s="8">
        <v>2022</v>
      </c>
      <c r="B82" s="8" t="s">
        <v>123</v>
      </c>
      <c r="C82" s="25" t="s">
        <v>124</v>
      </c>
      <c r="D82" s="8" t="s">
        <v>125</v>
      </c>
      <c r="E82" s="8" t="s">
        <v>115</v>
      </c>
      <c r="F82" s="8">
        <v>7.09</v>
      </c>
      <c r="G82" s="8">
        <v>37.799999999999997</v>
      </c>
      <c r="H82" s="8">
        <v>2.68</v>
      </c>
      <c r="I82" s="8">
        <v>0.56999999999999995</v>
      </c>
      <c r="J82" s="8">
        <v>3.19</v>
      </c>
      <c r="K82" s="2" t="str">
        <f t="shared" si="4"/>
        <v>Actual</v>
      </c>
      <c r="L82" s="1">
        <f t="shared" si="5"/>
        <v>8.0394922425952107</v>
      </c>
      <c r="M82" s="1">
        <f t="shared" si="6"/>
        <v>44.992947813822298</v>
      </c>
      <c r="N82" s="1" t="str">
        <f t="shared" si="7"/>
        <v>Manufacturer</v>
      </c>
    </row>
    <row r="83" spans="1:14">
      <c r="A83" s="8">
        <v>2023</v>
      </c>
      <c r="B83" s="8" t="s">
        <v>123</v>
      </c>
      <c r="C83" s="25" t="s">
        <v>124</v>
      </c>
      <c r="D83" s="8" t="s">
        <v>125</v>
      </c>
      <c r="E83" s="8" t="s">
        <v>115</v>
      </c>
      <c r="F83" s="8">
        <v>6.72</v>
      </c>
      <c r="G83" s="8">
        <v>37.5</v>
      </c>
      <c r="H83" s="8">
        <v>2.52</v>
      </c>
      <c r="I83" s="8">
        <v>0.54</v>
      </c>
      <c r="J83" s="8">
        <v>3.02</v>
      </c>
      <c r="K83" s="2" t="str">
        <f t="shared" si="4"/>
        <v>Actual</v>
      </c>
      <c r="L83" s="1">
        <f t="shared" si="5"/>
        <v>8.03571428571429</v>
      </c>
      <c r="M83" s="1">
        <f t="shared" si="6"/>
        <v>44.940476190476197</v>
      </c>
      <c r="N83" s="1" t="str">
        <f t="shared" si="7"/>
        <v>Manufacturer</v>
      </c>
    </row>
    <row r="84" spans="1:14">
      <c r="A84" s="8">
        <v>2024</v>
      </c>
      <c r="B84" s="8" t="s">
        <v>123</v>
      </c>
      <c r="C84" s="25" t="s">
        <v>124</v>
      </c>
      <c r="D84" s="8" t="s">
        <v>125</v>
      </c>
      <c r="E84" s="8" t="s">
        <v>115</v>
      </c>
      <c r="F84" s="8">
        <v>8.1999999999999993</v>
      </c>
      <c r="G84" s="8">
        <v>37.299999999999997</v>
      </c>
      <c r="H84" s="8">
        <v>3.06</v>
      </c>
      <c r="I84" s="8">
        <v>0.66</v>
      </c>
      <c r="J84" s="8">
        <v>3.69</v>
      </c>
      <c r="K84" s="2" t="str">
        <f t="shared" si="4"/>
        <v>Actual</v>
      </c>
      <c r="L84" s="1">
        <f t="shared" si="5"/>
        <v>8.0487804878048799</v>
      </c>
      <c r="M84" s="1">
        <f t="shared" si="6"/>
        <v>45</v>
      </c>
      <c r="N84" s="1" t="str">
        <f t="shared" si="7"/>
        <v>Manufacturer</v>
      </c>
    </row>
    <row r="85" spans="1:14">
      <c r="A85" s="8">
        <v>2025</v>
      </c>
      <c r="B85" s="8" t="s">
        <v>123</v>
      </c>
      <c r="C85" s="25" t="s">
        <v>124</v>
      </c>
      <c r="D85" s="8" t="s">
        <v>125</v>
      </c>
      <c r="E85" s="8" t="s">
        <v>115</v>
      </c>
      <c r="F85" s="8">
        <v>10.28</v>
      </c>
      <c r="G85" s="8">
        <v>41.2</v>
      </c>
      <c r="H85" s="8">
        <v>4.2300000000000004</v>
      </c>
      <c r="I85" s="8">
        <v>0.82</v>
      </c>
      <c r="J85" s="8">
        <v>4.63</v>
      </c>
      <c r="K85" s="2" t="str">
        <f t="shared" si="4"/>
        <v>Forecast</v>
      </c>
      <c r="L85" s="1">
        <f t="shared" si="5"/>
        <v>7.9766536964980501</v>
      </c>
      <c r="M85" s="1">
        <f t="shared" si="6"/>
        <v>45.038910505836597</v>
      </c>
      <c r="N85" s="1" t="str">
        <f t="shared" si="7"/>
        <v>Manufacturer</v>
      </c>
    </row>
    <row r="86" spans="1:14">
      <c r="A86" s="8">
        <v>2026</v>
      </c>
      <c r="B86" s="8" t="s">
        <v>123</v>
      </c>
      <c r="C86" s="25" t="s">
        <v>124</v>
      </c>
      <c r="D86" s="8" t="s">
        <v>125</v>
      </c>
      <c r="E86" s="8" t="s">
        <v>115</v>
      </c>
      <c r="F86" s="8">
        <v>11.94</v>
      </c>
      <c r="G86" s="8">
        <v>39.9</v>
      </c>
      <c r="H86" s="8">
        <v>4.76</v>
      </c>
      <c r="I86" s="8">
        <v>0.96</v>
      </c>
      <c r="J86" s="8">
        <v>5.37</v>
      </c>
      <c r="K86" s="2" t="str">
        <f t="shared" si="4"/>
        <v>Forecast</v>
      </c>
      <c r="L86" s="1">
        <f t="shared" si="5"/>
        <v>8.0402010050251196</v>
      </c>
      <c r="M86" s="1">
        <f t="shared" si="6"/>
        <v>44.9748743718593</v>
      </c>
      <c r="N86" s="1" t="str">
        <f t="shared" si="7"/>
        <v>Manufacturer</v>
      </c>
    </row>
    <row r="87" spans="1:14">
      <c r="A87" s="8">
        <v>2010</v>
      </c>
      <c r="B87" s="8" t="s">
        <v>29</v>
      </c>
      <c r="C87" s="8" t="s">
        <v>126</v>
      </c>
      <c r="D87" s="8" t="s">
        <v>121</v>
      </c>
      <c r="E87" s="8" t="s">
        <v>127</v>
      </c>
      <c r="F87" s="8">
        <v>3.43</v>
      </c>
      <c r="G87" s="8">
        <v>56.3</v>
      </c>
      <c r="H87" s="8">
        <v>1.93</v>
      </c>
      <c r="I87" s="8">
        <v>0.86</v>
      </c>
      <c r="J87" s="8">
        <v>7.0000000000000007E-2</v>
      </c>
      <c r="K87" s="2" t="str">
        <f t="shared" si="4"/>
        <v>Actual</v>
      </c>
      <c r="L87" s="1">
        <f t="shared" si="5"/>
        <v>25.072886297376101</v>
      </c>
      <c r="M87" s="1">
        <f t="shared" si="6"/>
        <v>2.0408163265306101</v>
      </c>
      <c r="N87" s="1" t="str">
        <f t="shared" si="7"/>
        <v>Fabless</v>
      </c>
    </row>
    <row r="88" spans="1:14">
      <c r="A88" s="8">
        <v>2011</v>
      </c>
      <c r="B88" s="8" t="s">
        <v>29</v>
      </c>
      <c r="C88" s="8" t="s">
        <v>126</v>
      </c>
      <c r="D88" s="8" t="s">
        <v>121</v>
      </c>
      <c r="E88" s="8" t="s">
        <v>127</v>
      </c>
      <c r="F88" s="8">
        <v>3.75</v>
      </c>
      <c r="G88" s="8">
        <v>51.3</v>
      </c>
      <c r="H88" s="8">
        <v>1.92</v>
      </c>
      <c r="I88" s="8">
        <v>0.94</v>
      </c>
      <c r="J88" s="8">
        <v>7.0000000000000007E-2</v>
      </c>
      <c r="K88" s="2" t="str">
        <f t="shared" si="4"/>
        <v>Actual</v>
      </c>
      <c r="L88" s="1">
        <f t="shared" si="5"/>
        <v>25.066666666666698</v>
      </c>
      <c r="M88" s="1">
        <f t="shared" si="6"/>
        <v>1.86666666666667</v>
      </c>
      <c r="N88" s="1" t="str">
        <f t="shared" si="7"/>
        <v>Fabless</v>
      </c>
    </row>
    <row r="89" spans="1:14">
      <c r="A89" s="8">
        <v>2012</v>
      </c>
      <c r="B89" s="8" t="s">
        <v>29</v>
      </c>
      <c r="C89" s="8" t="s">
        <v>126</v>
      </c>
      <c r="D89" s="8" t="s">
        <v>121</v>
      </c>
      <c r="E89" s="8" t="s">
        <v>127</v>
      </c>
      <c r="F89" s="8">
        <v>3.95</v>
      </c>
      <c r="G89" s="8">
        <v>55.5</v>
      </c>
      <c r="H89" s="8">
        <v>2.19</v>
      </c>
      <c r="I89" s="8">
        <v>0.99</v>
      </c>
      <c r="J89" s="8">
        <v>0.08</v>
      </c>
      <c r="K89" s="2" t="str">
        <f t="shared" si="4"/>
        <v>Actual</v>
      </c>
      <c r="L89" s="1">
        <f t="shared" si="5"/>
        <v>25.063291139240501</v>
      </c>
      <c r="M89" s="1">
        <f t="shared" si="6"/>
        <v>2.0253164556962</v>
      </c>
      <c r="N89" s="1" t="str">
        <f t="shared" si="7"/>
        <v>Fabless</v>
      </c>
    </row>
    <row r="90" spans="1:14">
      <c r="A90" s="8">
        <v>2013</v>
      </c>
      <c r="B90" s="8" t="s">
        <v>29</v>
      </c>
      <c r="C90" s="8" t="s">
        <v>126</v>
      </c>
      <c r="D90" s="8" t="s">
        <v>121</v>
      </c>
      <c r="E90" s="8" t="s">
        <v>127</v>
      </c>
      <c r="F90" s="8">
        <v>4.6100000000000003</v>
      </c>
      <c r="G90" s="8">
        <v>55.5</v>
      </c>
      <c r="H90" s="8">
        <v>2.56</v>
      </c>
      <c r="I90" s="8">
        <v>1.1499999999999999</v>
      </c>
      <c r="J90" s="8">
        <v>0.09</v>
      </c>
      <c r="K90" s="2" t="str">
        <f t="shared" si="4"/>
        <v>Actual</v>
      </c>
      <c r="L90" s="1">
        <f t="shared" si="5"/>
        <v>24.945770065075902</v>
      </c>
      <c r="M90" s="1">
        <f t="shared" si="6"/>
        <v>1.9522776572668099</v>
      </c>
      <c r="N90" s="1" t="str">
        <f t="shared" si="7"/>
        <v>Fabless</v>
      </c>
    </row>
    <row r="91" spans="1:14">
      <c r="A91" s="8">
        <v>2014</v>
      </c>
      <c r="B91" s="8" t="s">
        <v>29</v>
      </c>
      <c r="C91" s="8" t="s">
        <v>126</v>
      </c>
      <c r="D91" s="8" t="s">
        <v>121</v>
      </c>
      <c r="E91" s="8" t="s">
        <v>127</v>
      </c>
      <c r="F91" s="8">
        <v>4.68</v>
      </c>
      <c r="G91" s="8">
        <v>55.9</v>
      </c>
      <c r="H91" s="8">
        <v>2.62</v>
      </c>
      <c r="I91" s="8">
        <v>1.17</v>
      </c>
      <c r="J91" s="8">
        <v>0.09</v>
      </c>
      <c r="K91" s="2" t="str">
        <f t="shared" si="4"/>
        <v>Actual</v>
      </c>
      <c r="L91" s="1">
        <f t="shared" si="5"/>
        <v>25</v>
      </c>
      <c r="M91" s="1">
        <f t="shared" si="6"/>
        <v>1.92307692307692</v>
      </c>
      <c r="N91" s="1" t="str">
        <f t="shared" si="7"/>
        <v>Fabless</v>
      </c>
    </row>
    <row r="92" spans="1:14">
      <c r="A92" s="8">
        <v>2015</v>
      </c>
      <c r="B92" s="8" t="s">
        <v>29</v>
      </c>
      <c r="C92" s="8" t="s">
        <v>126</v>
      </c>
      <c r="D92" s="8" t="s">
        <v>121</v>
      </c>
      <c r="E92" s="8" t="s">
        <v>127</v>
      </c>
      <c r="F92" s="8">
        <v>5.2</v>
      </c>
      <c r="G92" s="8">
        <v>55.7</v>
      </c>
      <c r="H92" s="8">
        <v>2.89</v>
      </c>
      <c r="I92" s="8">
        <v>1.3</v>
      </c>
      <c r="J92" s="8">
        <v>0.1</v>
      </c>
      <c r="K92" s="2" t="str">
        <f t="shared" si="4"/>
        <v>Actual</v>
      </c>
      <c r="L92" s="1">
        <f t="shared" si="5"/>
        <v>25</v>
      </c>
      <c r="M92" s="1">
        <f t="shared" si="6"/>
        <v>1.92307692307692</v>
      </c>
      <c r="N92" s="1" t="str">
        <f t="shared" si="7"/>
        <v>Fabless</v>
      </c>
    </row>
    <row r="93" spans="1:14">
      <c r="A93" s="8">
        <v>2016</v>
      </c>
      <c r="B93" s="8" t="s">
        <v>29</v>
      </c>
      <c r="C93" s="8" t="s">
        <v>126</v>
      </c>
      <c r="D93" s="8" t="s">
        <v>121</v>
      </c>
      <c r="E93" s="8" t="s">
        <v>127</v>
      </c>
      <c r="F93" s="8">
        <v>6.49</v>
      </c>
      <c r="G93" s="8">
        <v>58.3</v>
      </c>
      <c r="H93" s="8">
        <v>3.78</v>
      </c>
      <c r="I93" s="8">
        <v>1.62</v>
      </c>
      <c r="J93" s="8">
        <v>0.13</v>
      </c>
      <c r="K93" s="2" t="str">
        <f t="shared" si="4"/>
        <v>Actual</v>
      </c>
      <c r="L93" s="1">
        <f t="shared" si="5"/>
        <v>24.9614791987673</v>
      </c>
      <c r="M93" s="1">
        <f t="shared" si="6"/>
        <v>2.0030816640986102</v>
      </c>
      <c r="N93" s="1" t="str">
        <f t="shared" si="7"/>
        <v>Fabless</v>
      </c>
    </row>
    <row r="94" spans="1:14">
      <c r="A94" s="8">
        <v>2017</v>
      </c>
      <c r="B94" s="8" t="s">
        <v>29</v>
      </c>
      <c r="C94" s="8" t="s">
        <v>126</v>
      </c>
      <c r="D94" s="8" t="s">
        <v>121</v>
      </c>
      <c r="E94" s="8" t="s">
        <v>127</v>
      </c>
      <c r="F94" s="8">
        <v>8.24</v>
      </c>
      <c r="G94" s="8">
        <v>59.6</v>
      </c>
      <c r="H94" s="8">
        <v>4.91</v>
      </c>
      <c r="I94" s="8">
        <v>2.06</v>
      </c>
      <c r="J94" s="8">
        <v>0.16</v>
      </c>
      <c r="K94" s="2" t="str">
        <f t="shared" si="4"/>
        <v>Actual</v>
      </c>
      <c r="L94" s="1">
        <f t="shared" si="5"/>
        <v>25</v>
      </c>
      <c r="M94" s="1">
        <f t="shared" si="6"/>
        <v>1.94174757281553</v>
      </c>
      <c r="N94" s="1" t="str">
        <f t="shared" si="7"/>
        <v>Fabless</v>
      </c>
    </row>
    <row r="95" spans="1:14">
      <c r="A95" s="8">
        <v>2018</v>
      </c>
      <c r="B95" s="8" t="s">
        <v>29</v>
      </c>
      <c r="C95" s="8" t="s">
        <v>126</v>
      </c>
      <c r="D95" s="8" t="s">
        <v>121</v>
      </c>
      <c r="E95" s="8" t="s">
        <v>127</v>
      </c>
      <c r="F95" s="8">
        <v>9.75</v>
      </c>
      <c r="G95" s="8">
        <v>51.3</v>
      </c>
      <c r="H95" s="8">
        <v>5.01</v>
      </c>
      <c r="I95" s="8">
        <v>2.44</v>
      </c>
      <c r="J95" s="8">
        <v>0.2</v>
      </c>
      <c r="K95" s="2" t="str">
        <f t="shared" si="4"/>
        <v>Actual</v>
      </c>
      <c r="L95" s="1">
        <f t="shared" si="5"/>
        <v>25.025641025641001</v>
      </c>
      <c r="M95" s="1">
        <f t="shared" si="6"/>
        <v>2.0512820512820502</v>
      </c>
      <c r="N95" s="1" t="str">
        <f t="shared" si="7"/>
        <v>Fabless</v>
      </c>
    </row>
    <row r="96" spans="1:14">
      <c r="A96" s="8">
        <v>2019</v>
      </c>
      <c r="B96" s="8" t="s">
        <v>29</v>
      </c>
      <c r="C96" s="8" t="s">
        <v>126</v>
      </c>
      <c r="D96" s="8" t="s">
        <v>121</v>
      </c>
      <c r="E96" s="8" t="s">
        <v>127</v>
      </c>
      <c r="F96" s="8">
        <v>12.67</v>
      </c>
      <c r="G96" s="8">
        <v>60</v>
      </c>
      <c r="H96" s="8">
        <v>7.6</v>
      </c>
      <c r="I96" s="8">
        <v>3.17</v>
      </c>
      <c r="J96" s="8">
        <v>0.25</v>
      </c>
      <c r="K96" s="2" t="str">
        <f t="shared" si="4"/>
        <v>Actual</v>
      </c>
      <c r="L96" s="1">
        <f t="shared" si="5"/>
        <v>25.019731649565902</v>
      </c>
      <c r="M96" s="1">
        <f t="shared" si="6"/>
        <v>1.9731649565903699</v>
      </c>
      <c r="N96" s="1" t="str">
        <f t="shared" si="7"/>
        <v>Fabless</v>
      </c>
    </row>
    <row r="97" spans="1:14">
      <c r="A97" s="8">
        <v>2020</v>
      </c>
      <c r="B97" s="8" t="s">
        <v>29</v>
      </c>
      <c r="C97" s="8" t="s">
        <v>126</v>
      </c>
      <c r="D97" s="8" t="s">
        <v>121</v>
      </c>
      <c r="E97" s="8" t="s">
        <v>127</v>
      </c>
      <c r="F97" s="8">
        <v>17.59</v>
      </c>
      <c r="G97" s="8">
        <v>54.5</v>
      </c>
      <c r="H97" s="8">
        <v>9.58</v>
      </c>
      <c r="I97" s="8">
        <v>4.4000000000000004</v>
      </c>
      <c r="J97" s="8">
        <v>0.35</v>
      </c>
      <c r="K97" s="2" t="str">
        <f t="shared" si="4"/>
        <v>Actual</v>
      </c>
      <c r="L97" s="1">
        <f t="shared" si="5"/>
        <v>25.014212620807299</v>
      </c>
      <c r="M97" s="1">
        <f t="shared" si="6"/>
        <v>1.9897669130187601</v>
      </c>
      <c r="N97" s="1" t="str">
        <f t="shared" si="7"/>
        <v>Fabless</v>
      </c>
    </row>
    <row r="98" spans="1:14">
      <c r="A98" s="8">
        <v>2021</v>
      </c>
      <c r="B98" s="8" t="s">
        <v>29</v>
      </c>
      <c r="C98" s="8" t="s">
        <v>126</v>
      </c>
      <c r="D98" s="8" t="s">
        <v>121</v>
      </c>
      <c r="E98" s="8" t="s">
        <v>127</v>
      </c>
      <c r="F98" s="8">
        <v>21.6</v>
      </c>
      <c r="G98" s="8">
        <v>59.4</v>
      </c>
      <c r="H98" s="8">
        <v>12.83</v>
      </c>
      <c r="I98" s="8">
        <v>5.4</v>
      </c>
      <c r="J98" s="8">
        <v>0.43</v>
      </c>
      <c r="K98" s="2" t="str">
        <f t="shared" si="4"/>
        <v>Actual</v>
      </c>
      <c r="L98" s="1">
        <f t="shared" si="5"/>
        <v>25</v>
      </c>
      <c r="M98" s="1">
        <f t="shared" si="6"/>
        <v>1.99074074074074</v>
      </c>
      <c r="N98" s="1" t="str">
        <f t="shared" si="7"/>
        <v>Fabless</v>
      </c>
    </row>
    <row r="99" spans="1:14">
      <c r="A99" s="8">
        <v>2022</v>
      </c>
      <c r="B99" s="8" t="s">
        <v>29</v>
      </c>
      <c r="C99" s="8" t="s">
        <v>126</v>
      </c>
      <c r="D99" s="8" t="s">
        <v>121</v>
      </c>
      <c r="E99" s="8" t="s">
        <v>127</v>
      </c>
      <c r="F99" s="8">
        <v>26.12</v>
      </c>
      <c r="G99" s="8">
        <v>52.3</v>
      </c>
      <c r="H99" s="8">
        <v>13.66</v>
      </c>
      <c r="I99" s="8">
        <v>6.53</v>
      </c>
      <c r="J99" s="8">
        <v>0.52</v>
      </c>
      <c r="K99" s="2" t="str">
        <f t="shared" si="4"/>
        <v>Actual</v>
      </c>
      <c r="L99" s="1">
        <f t="shared" si="5"/>
        <v>25</v>
      </c>
      <c r="M99" s="1">
        <f t="shared" si="6"/>
        <v>1.9908116385911201</v>
      </c>
      <c r="N99" s="1" t="str">
        <f t="shared" si="7"/>
        <v>Fabless</v>
      </c>
    </row>
    <row r="100" spans="1:14">
      <c r="A100" s="8">
        <v>2023</v>
      </c>
      <c r="B100" s="8" t="s">
        <v>29</v>
      </c>
      <c r="C100" s="8" t="s">
        <v>126</v>
      </c>
      <c r="D100" s="8" t="s">
        <v>121</v>
      </c>
      <c r="E100" s="8" t="s">
        <v>127</v>
      </c>
      <c r="F100" s="8">
        <v>62.09</v>
      </c>
      <c r="G100" s="8">
        <v>58.8</v>
      </c>
      <c r="H100" s="8">
        <v>36.520000000000003</v>
      </c>
      <c r="I100" s="8">
        <v>15.52</v>
      </c>
      <c r="J100" s="8">
        <v>1.24</v>
      </c>
      <c r="K100" s="2" t="str">
        <f t="shared" si="4"/>
        <v>Actual</v>
      </c>
      <c r="L100" s="1">
        <f t="shared" si="5"/>
        <v>24.995973586728901</v>
      </c>
      <c r="M100" s="1">
        <f t="shared" si="6"/>
        <v>1.99710098244484</v>
      </c>
      <c r="N100" s="1" t="str">
        <f t="shared" si="7"/>
        <v>Fabless</v>
      </c>
    </row>
    <row r="101" spans="1:14">
      <c r="A101" s="8">
        <v>2024</v>
      </c>
      <c r="B101" s="8" t="s">
        <v>29</v>
      </c>
      <c r="C101" s="8" t="s">
        <v>126</v>
      </c>
      <c r="D101" s="8" t="s">
        <v>121</v>
      </c>
      <c r="E101" s="8" t="s">
        <v>127</v>
      </c>
      <c r="F101" s="8">
        <v>130.47999999999999</v>
      </c>
      <c r="G101" s="8">
        <v>59.5</v>
      </c>
      <c r="H101" s="8">
        <v>77.650000000000006</v>
      </c>
      <c r="I101" s="8">
        <v>32.619999999999997</v>
      </c>
      <c r="J101" s="8">
        <v>2.61</v>
      </c>
      <c r="K101" s="2" t="str">
        <f t="shared" si="4"/>
        <v>Actual</v>
      </c>
      <c r="L101" s="1">
        <f t="shared" si="5"/>
        <v>25</v>
      </c>
      <c r="M101" s="1">
        <f t="shared" si="6"/>
        <v>2.0003065603924002</v>
      </c>
      <c r="N101" s="1" t="str">
        <f t="shared" si="7"/>
        <v>Fabless</v>
      </c>
    </row>
    <row r="102" spans="1:14">
      <c r="A102" s="8">
        <v>2025</v>
      </c>
      <c r="B102" s="8" t="s">
        <v>29</v>
      </c>
      <c r="C102" s="8" t="s">
        <v>126</v>
      </c>
      <c r="D102" s="8" t="s">
        <v>121</v>
      </c>
      <c r="E102" s="8" t="s">
        <v>127</v>
      </c>
      <c r="F102" s="8">
        <v>192.19</v>
      </c>
      <c r="G102" s="8">
        <v>64.2</v>
      </c>
      <c r="H102" s="8">
        <v>123.43</v>
      </c>
      <c r="I102" s="8">
        <v>48.05</v>
      </c>
      <c r="J102" s="8">
        <v>3.84</v>
      </c>
      <c r="K102" s="2" t="str">
        <f t="shared" si="4"/>
        <v>Forecast</v>
      </c>
      <c r="L102" s="1">
        <f t="shared" si="5"/>
        <v>25.0013007960872</v>
      </c>
      <c r="M102" s="1">
        <f t="shared" si="6"/>
        <v>1.9980227899474501</v>
      </c>
      <c r="N102" s="1" t="str">
        <f t="shared" si="7"/>
        <v>Fabless</v>
      </c>
    </row>
    <row r="103" spans="1:14">
      <c r="A103" s="8">
        <v>2026</v>
      </c>
      <c r="B103" s="8" t="s">
        <v>29</v>
      </c>
      <c r="C103" s="8" t="s">
        <v>126</v>
      </c>
      <c r="D103" s="8" t="s">
        <v>121</v>
      </c>
      <c r="E103" s="8" t="s">
        <v>127</v>
      </c>
      <c r="F103" s="8">
        <v>250.68</v>
      </c>
      <c r="G103" s="8">
        <v>61.9</v>
      </c>
      <c r="H103" s="8">
        <v>155.25</v>
      </c>
      <c r="I103" s="8">
        <v>62.67</v>
      </c>
      <c r="J103" s="8">
        <v>5.01</v>
      </c>
      <c r="K103" s="2" t="str">
        <f t="shared" si="4"/>
        <v>Forecast</v>
      </c>
      <c r="L103" s="1">
        <f t="shared" si="5"/>
        <v>25</v>
      </c>
      <c r="M103" s="1">
        <f t="shared" si="6"/>
        <v>1.9985639061752001</v>
      </c>
      <c r="N103" s="1" t="str">
        <f t="shared" si="7"/>
        <v>Fabless</v>
      </c>
    </row>
    <row r="104" spans="1:14">
      <c r="A104" s="8">
        <v>2010</v>
      </c>
      <c r="B104" s="8" t="s">
        <v>46</v>
      </c>
      <c r="C104" s="8" t="s">
        <v>46</v>
      </c>
      <c r="D104" s="8" t="s">
        <v>121</v>
      </c>
      <c r="E104" s="8" t="s">
        <v>128</v>
      </c>
      <c r="F104" s="8">
        <v>6.11</v>
      </c>
      <c r="G104" s="8">
        <v>19.899999999999999</v>
      </c>
      <c r="H104" s="8">
        <v>1.21</v>
      </c>
      <c r="I104" s="8">
        <v>1.22</v>
      </c>
      <c r="J104" s="8">
        <v>0.61</v>
      </c>
      <c r="K104" s="2" t="str">
        <f t="shared" si="4"/>
        <v>Actual</v>
      </c>
      <c r="L104" s="1">
        <f t="shared" si="5"/>
        <v>19.9672667757774</v>
      </c>
      <c r="M104" s="1">
        <f t="shared" si="6"/>
        <v>9.9836333878887107</v>
      </c>
      <c r="N104" s="1" t="str">
        <f t="shared" si="7"/>
        <v>Fabless</v>
      </c>
    </row>
    <row r="105" spans="1:14">
      <c r="A105" s="8">
        <v>2011</v>
      </c>
      <c r="B105" s="8" t="s">
        <v>46</v>
      </c>
      <c r="C105" s="8" t="s">
        <v>46</v>
      </c>
      <c r="D105" s="8" t="s">
        <v>121</v>
      </c>
      <c r="E105" s="8" t="s">
        <v>128</v>
      </c>
      <c r="F105" s="8">
        <v>5.85</v>
      </c>
      <c r="G105" s="8">
        <v>16.3</v>
      </c>
      <c r="H105" s="8">
        <v>0.96</v>
      </c>
      <c r="I105" s="8">
        <v>1.17</v>
      </c>
      <c r="J105" s="8">
        <v>0.59</v>
      </c>
      <c r="K105" s="2" t="str">
        <f t="shared" si="4"/>
        <v>Actual</v>
      </c>
      <c r="L105" s="1">
        <f t="shared" si="5"/>
        <v>20</v>
      </c>
      <c r="M105" s="1">
        <f t="shared" si="6"/>
        <v>10.085470085470099</v>
      </c>
      <c r="N105" s="1" t="str">
        <f t="shared" si="7"/>
        <v>Fabless</v>
      </c>
    </row>
    <row r="106" spans="1:14">
      <c r="A106" s="8">
        <v>2012</v>
      </c>
      <c r="B106" s="8" t="s">
        <v>46</v>
      </c>
      <c r="C106" s="8" t="s">
        <v>46</v>
      </c>
      <c r="D106" s="8" t="s">
        <v>121</v>
      </c>
      <c r="E106" s="8" t="s">
        <v>128</v>
      </c>
      <c r="F106" s="8">
        <v>5.36</v>
      </c>
      <c r="G106" s="8">
        <v>19</v>
      </c>
      <c r="H106" s="8">
        <v>1.02</v>
      </c>
      <c r="I106" s="8">
        <v>1.07</v>
      </c>
      <c r="J106" s="8">
        <v>0.54</v>
      </c>
      <c r="K106" s="2" t="str">
        <f t="shared" si="4"/>
        <v>Actual</v>
      </c>
      <c r="L106" s="1">
        <f t="shared" si="5"/>
        <v>19.962686567164202</v>
      </c>
      <c r="M106" s="1">
        <f t="shared" si="6"/>
        <v>10.0746268656716</v>
      </c>
      <c r="N106" s="1" t="str">
        <f t="shared" si="7"/>
        <v>Fabless</v>
      </c>
    </row>
    <row r="107" spans="1:14">
      <c r="A107" s="8">
        <v>2013</v>
      </c>
      <c r="B107" s="8" t="s">
        <v>46</v>
      </c>
      <c r="C107" s="8" t="s">
        <v>46</v>
      </c>
      <c r="D107" s="8" t="s">
        <v>121</v>
      </c>
      <c r="E107" s="8" t="s">
        <v>128</v>
      </c>
      <c r="F107" s="8">
        <v>5.14</v>
      </c>
      <c r="G107" s="8">
        <v>16</v>
      </c>
      <c r="H107" s="8">
        <v>0.82</v>
      </c>
      <c r="I107" s="8">
        <v>1.03</v>
      </c>
      <c r="J107" s="8">
        <v>0.51</v>
      </c>
      <c r="K107" s="2" t="str">
        <f t="shared" si="4"/>
        <v>Actual</v>
      </c>
      <c r="L107" s="1">
        <f t="shared" si="5"/>
        <v>20.038910505836601</v>
      </c>
      <c r="M107" s="1">
        <f t="shared" si="6"/>
        <v>9.9221789883268503</v>
      </c>
      <c r="N107" s="1" t="str">
        <f t="shared" si="7"/>
        <v>Fabless</v>
      </c>
    </row>
    <row r="108" spans="1:14">
      <c r="A108" s="8">
        <v>2014</v>
      </c>
      <c r="B108" s="8" t="s">
        <v>46</v>
      </c>
      <c r="C108" s="8" t="s">
        <v>46</v>
      </c>
      <c r="D108" s="8" t="s">
        <v>121</v>
      </c>
      <c r="E108" s="8" t="s">
        <v>128</v>
      </c>
      <c r="F108" s="8">
        <v>4.5</v>
      </c>
      <c r="G108" s="8">
        <v>18.5</v>
      </c>
      <c r="H108" s="8">
        <v>0.84</v>
      </c>
      <c r="I108" s="8">
        <v>0.9</v>
      </c>
      <c r="J108" s="8">
        <v>0.45</v>
      </c>
      <c r="K108" s="2" t="str">
        <f t="shared" si="4"/>
        <v>Actual</v>
      </c>
      <c r="L108" s="1">
        <f t="shared" si="5"/>
        <v>20</v>
      </c>
      <c r="M108" s="1">
        <f t="shared" si="6"/>
        <v>10</v>
      </c>
      <c r="N108" s="1" t="str">
        <f t="shared" si="7"/>
        <v>Fabless</v>
      </c>
    </row>
    <row r="109" spans="1:14">
      <c r="A109" s="8">
        <v>2015</v>
      </c>
      <c r="B109" s="8" t="s">
        <v>46</v>
      </c>
      <c r="C109" s="8" t="s">
        <v>46</v>
      </c>
      <c r="D109" s="8" t="s">
        <v>121</v>
      </c>
      <c r="E109" s="8" t="s">
        <v>128</v>
      </c>
      <c r="F109" s="8">
        <v>3.96</v>
      </c>
      <c r="G109" s="8">
        <v>23</v>
      </c>
      <c r="H109" s="8">
        <v>0.91</v>
      </c>
      <c r="I109" s="8">
        <v>0.79</v>
      </c>
      <c r="J109" s="8">
        <v>0.4</v>
      </c>
      <c r="K109" s="2" t="str">
        <f t="shared" si="4"/>
        <v>Actual</v>
      </c>
      <c r="L109" s="1">
        <f t="shared" si="5"/>
        <v>19.949494949495001</v>
      </c>
      <c r="M109" s="1">
        <f t="shared" si="6"/>
        <v>10.1010101010101</v>
      </c>
      <c r="N109" s="1" t="str">
        <f t="shared" si="7"/>
        <v>Fabless</v>
      </c>
    </row>
    <row r="110" spans="1:14">
      <c r="A110" s="8">
        <v>2016</v>
      </c>
      <c r="B110" s="8" t="s">
        <v>46</v>
      </c>
      <c r="C110" s="8" t="s">
        <v>46</v>
      </c>
      <c r="D110" s="8" t="s">
        <v>121</v>
      </c>
      <c r="E110" s="8" t="s">
        <v>128</v>
      </c>
      <c r="F110" s="8">
        <v>4.91</v>
      </c>
      <c r="G110" s="8">
        <v>24</v>
      </c>
      <c r="H110" s="8">
        <v>1.18</v>
      </c>
      <c r="I110" s="8">
        <v>0.98</v>
      </c>
      <c r="J110" s="8">
        <v>0.49</v>
      </c>
      <c r="K110" s="2" t="str">
        <f t="shared" si="4"/>
        <v>Actual</v>
      </c>
      <c r="L110" s="1">
        <f t="shared" si="5"/>
        <v>19.959266802443999</v>
      </c>
      <c r="M110" s="1">
        <f t="shared" si="6"/>
        <v>9.9796334012219905</v>
      </c>
      <c r="N110" s="1" t="str">
        <f t="shared" si="7"/>
        <v>Fabless</v>
      </c>
    </row>
    <row r="111" spans="1:14">
      <c r="A111" s="8">
        <v>2017</v>
      </c>
      <c r="B111" s="8" t="s">
        <v>46</v>
      </c>
      <c r="C111" s="8" t="s">
        <v>46</v>
      </c>
      <c r="D111" s="8" t="s">
        <v>121</v>
      </c>
      <c r="E111" s="8" t="s">
        <v>128</v>
      </c>
      <c r="F111" s="8">
        <v>5.64</v>
      </c>
      <c r="G111" s="8">
        <v>17.899999999999999</v>
      </c>
      <c r="H111" s="8">
        <v>1.01</v>
      </c>
      <c r="I111" s="8">
        <v>1.1299999999999999</v>
      </c>
      <c r="J111" s="8">
        <v>0.56000000000000005</v>
      </c>
      <c r="K111" s="2" t="str">
        <f t="shared" si="4"/>
        <v>Actual</v>
      </c>
      <c r="L111" s="1">
        <f t="shared" si="5"/>
        <v>20.035460992907801</v>
      </c>
      <c r="M111" s="1">
        <f t="shared" si="6"/>
        <v>9.9290780141843999</v>
      </c>
      <c r="N111" s="1" t="str">
        <f t="shared" si="7"/>
        <v>Fabless</v>
      </c>
    </row>
    <row r="112" spans="1:14">
      <c r="A112" s="8">
        <v>2018</v>
      </c>
      <c r="B112" s="8" t="s">
        <v>46</v>
      </c>
      <c r="C112" s="8" t="s">
        <v>46</v>
      </c>
      <c r="D112" s="8" t="s">
        <v>121</v>
      </c>
      <c r="E112" s="8" t="s">
        <v>128</v>
      </c>
      <c r="F112" s="8">
        <v>6.46</v>
      </c>
      <c r="G112" s="8">
        <v>20.7</v>
      </c>
      <c r="H112" s="8">
        <v>1.34</v>
      </c>
      <c r="I112" s="8">
        <v>1.29</v>
      </c>
      <c r="J112" s="8">
        <v>0.65</v>
      </c>
      <c r="K112" s="2" t="str">
        <f t="shared" si="4"/>
        <v>Actual</v>
      </c>
      <c r="L112" s="1">
        <f t="shared" si="5"/>
        <v>19.969040247677999</v>
      </c>
      <c r="M112" s="1">
        <f t="shared" si="6"/>
        <v>10.061919504644001</v>
      </c>
      <c r="N112" s="1" t="str">
        <f t="shared" si="7"/>
        <v>Fabless</v>
      </c>
    </row>
    <row r="113" spans="1:14">
      <c r="A113" s="8">
        <v>2019</v>
      </c>
      <c r="B113" s="8" t="s">
        <v>46</v>
      </c>
      <c r="C113" s="8" t="s">
        <v>46</v>
      </c>
      <c r="D113" s="8" t="s">
        <v>121</v>
      </c>
      <c r="E113" s="8" t="s">
        <v>128</v>
      </c>
      <c r="F113" s="8">
        <v>8.19</v>
      </c>
      <c r="G113" s="8">
        <v>16.7</v>
      </c>
      <c r="H113" s="8">
        <v>1.37</v>
      </c>
      <c r="I113" s="8">
        <v>1.64</v>
      </c>
      <c r="J113" s="8">
        <v>0.82</v>
      </c>
      <c r="K113" s="2" t="str">
        <f t="shared" si="4"/>
        <v>Actual</v>
      </c>
      <c r="L113" s="1">
        <f t="shared" si="5"/>
        <v>20.024420024419999</v>
      </c>
      <c r="M113" s="1">
        <f t="shared" si="6"/>
        <v>10.01221001221</v>
      </c>
      <c r="N113" s="1" t="str">
        <f t="shared" si="7"/>
        <v>Fabless</v>
      </c>
    </row>
    <row r="114" spans="1:14">
      <c r="A114" s="8">
        <v>2020</v>
      </c>
      <c r="B114" s="8" t="s">
        <v>46</v>
      </c>
      <c r="C114" s="8" t="s">
        <v>46</v>
      </c>
      <c r="D114" s="8" t="s">
        <v>121</v>
      </c>
      <c r="E114" s="8" t="s">
        <v>128</v>
      </c>
      <c r="F114" s="8">
        <v>9.83</v>
      </c>
      <c r="G114" s="8">
        <v>20.7</v>
      </c>
      <c r="H114" s="8">
        <v>2.0299999999999998</v>
      </c>
      <c r="I114" s="8">
        <v>1.97</v>
      </c>
      <c r="J114" s="8">
        <v>0.98</v>
      </c>
      <c r="K114" s="2" t="str">
        <f t="shared" si="4"/>
        <v>Actual</v>
      </c>
      <c r="L114" s="1">
        <f t="shared" si="5"/>
        <v>20.040691759918602</v>
      </c>
      <c r="M114" s="1">
        <f t="shared" si="6"/>
        <v>9.9694811800610399</v>
      </c>
      <c r="N114" s="1" t="str">
        <f t="shared" si="7"/>
        <v>Fabless</v>
      </c>
    </row>
    <row r="115" spans="1:14">
      <c r="A115" s="8">
        <v>2021</v>
      </c>
      <c r="B115" s="8" t="s">
        <v>46</v>
      </c>
      <c r="C115" s="8" t="s">
        <v>46</v>
      </c>
      <c r="D115" s="8" t="s">
        <v>121</v>
      </c>
      <c r="E115" s="8" t="s">
        <v>128</v>
      </c>
      <c r="F115" s="8">
        <v>18.010000000000002</v>
      </c>
      <c r="G115" s="8">
        <v>25.6</v>
      </c>
      <c r="H115" s="8">
        <v>4.62</v>
      </c>
      <c r="I115" s="8">
        <v>3.6</v>
      </c>
      <c r="J115" s="8">
        <v>1.8</v>
      </c>
      <c r="K115" s="2" t="str">
        <f t="shared" si="4"/>
        <v>Actual</v>
      </c>
      <c r="L115" s="1">
        <f t="shared" si="5"/>
        <v>19.988895058300901</v>
      </c>
      <c r="M115" s="1">
        <f t="shared" si="6"/>
        <v>9.9944475291504702</v>
      </c>
      <c r="N115" s="1" t="str">
        <f t="shared" si="7"/>
        <v>Fabless</v>
      </c>
    </row>
    <row r="116" spans="1:14">
      <c r="A116" s="8">
        <v>2022</v>
      </c>
      <c r="B116" s="8" t="s">
        <v>46</v>
      </c>
      <c r="C116" s="8" t="s">
        <v>46</v>
      </c>
      <c r="D116" s="8" t="s">
        <v>121</v>
      </c>
      <c r="E116" s="8" t="s">
        <v>128</v>
      </c>
      <c r="F116" s="8">
        <v>23</v>
      </c>
      <c r="G116" s="8">
        <v>19.100000000000001</v>
      </c>
      <c r="H116" s="8">
        <v>4.4000000000000004</v>
      </c>
      <c r="I116" s="8">
        <v>4.5999999999999996</v>
      </c>
      <c r="J116" s="8">
        <v>2.2999999999999998</v>
      </c>
      <c r="K116" s="2" t="str">
        <f t="shared" si="4"/>
        <v>Actual</v>
      </c>
      <c r="L116" s="1">
        <f t="shared" si="5"/>
        <v>20</v>
      </c>
      <c r="M116" s="1">
        <f t="shared" si="6"/>
        <v>10</v>
      </c>
      <c r="N116" s="1" t="str">
        <f t="shared" si="7"/>
        <v>Fabless</v>
      </c>
    </row>
    <row r="117" spans="1:14">
      <c r="A117" s="8">
        <v>2023</v>
      </c>
      <c r="B117" s="8" t="s">
        <v>46</v>
      </c>
      <c r="C117" s="8" t="s">
        <v>46</v>
      </c>
      <c r="D117" s="8" t="s">
        <v>121</v>
      </c>
      <c r="E117" s="8" t="s">
        <v>128</v>
      </c>
      <c r="F117" s="8">
        <v>21.72</v>
      </c>
      <c r="G117" s="8">
        <v>18.2</v>
      </c>
      <c r="H117" s="8">
        <v>3.96</v>
      </c>
      <c r="I117" s="8">
        <v>4.34</v>
      </c>
      <c r="J117" s="8">
        <v>2.17</v>
      </c>
      <c r="K117" s="2" t="str">
        <f t="shared" si="4"/>
        <v>Actual</v>
      </c>
      <c r="L117" s="1">
        <f t="shared" si="5"/>
        <v>19.981583793738501</v>
      </c>
      <c r="M117" s="1">
        <f t="shared" si="6"/>
        <v>9.9907918968692506</v>
      </c>
      <c r="N117" s="1" t="str">
        <f t="shared" si="7"/>
        <v>Fabless</v>
      </c>
    </row>
    <row r="118" spans="1:14">
      <c r="A118" s="8">
        <v>2024</v>
      </c>
      <c r="B118" s="8" t="s">
        <v>46</v>
      </c>
      <c r="C118" s="8" t="s">
        <v>46</v>
      </c>
      <c r="D118" s="8" t="s">
        <v>121</v>
      </c>
      <c r="E118" s="8" t="s">
        <v>128</v>
      </c>
      <c r="F118" s="8">
        <v>26.05</v>
      </c>
      <c r="G118" s="8">
        <v>23.6</v>
      </c>
      <c r="H118" s="8">
        <v>6.15</v>
      </c>
      <c r="I118" s="8">
        <v>5.21</v>
      </c>
      <c r="J118" s="8">
        <v>2.6</v>
      </c>
      <c r="K118" s="2" t="str">
        <f t="shared" si="4"/>
        <v>Actual</v>
      </c>
      <c r="L118" s="1">
        <f t="shared" si="5"/>
        <v>20</v>
      </c>
      <c r="M118" s="1">
        <f t="shared" si="6"/>
        <v>9.9808061420345506</v>
      </c>
      <c r="N118" s="1" t="str">
        <f t="shared" si="7"/>
        <v>Fabless</v>
      </c>
    </row>
    <row r="119" spans="1:14">
      <c r="A119" s="8">
        <v>2025</v>
      </c>
      <c r="B119" s="8" t="s">
        <v>46</v>
      </c>
      <c r="C119" s="8" t="s">
        <v>46</v>
      </c>
      <c r="D119" s="8" t="s">
        <v>121</v>
      </c>
      <c r="E119" s="8" t="s">
        <v>128</v>
      </c>
      <c r="F119" s="8">
        <v>33.17</v>
      </c>
      <c r="G119" s="8">
        <v>18</v>
      </c>
      <c r="H119" s="8">
        <v>5.98</v>
      </c>
      <c r="I119" s="8">
        <v>6.63</v>
      </c>
      <c r="J119" s="8">
        <v>3.32</v>
      </c>
      <c r="K119" s="2" t="str">
        <f t="shared" si="4"/>
        <v>Forecast</v>
      </c>
      <c r="L119" s="1">
        <f t="shared" si="5"/>
        <v>19.987940910461301</v>
      </c>
      <c r="M119" s="1">
        <f t="shared" si="6"/>
        <v>10.0090443171541</v>
      </c>
      <c r="N119" s="1" t="str">
        <f t="shared" si="7"/>
        <v>Fabless</v>
      </c>
    </row>
    <row r="120" spans="1:14">
      <c r="A120" s="8">
        <v>2026</v>
      </c>
      <c r="B120" s="8" t="s">
        <v>46</v>
      </c>
      <c r="C120" s="8" t="s">
        <v>46</v>
      </c>
      <c r="D120" s="8" t="s">
        <v>121</v>
      </c>
      <c r="E120" s="8" t="s">
        <v>128</v>
      </c>
      <c r="F120" s="8">
        <v>39.380000000000003</v>
      </c>
      <c r="G120" s="8">
        <v>19.5</v>
      </c>
      <c r="H120" s="8">
        <v>7.68</v>
      </c>
      <c r="I120" s="8">
        <v>7.88</v>
      </c>
      <c r="J120" s="8">
        <v>3.94</v>
      </c>
      <c r="K120" s="2" t="str">
        <f t="shared" si="4"/>
        <v>Forecast</v>
      </c>
      <c r="L120" s="1">
        <f t="shared" si="5"/>
        <v>20.010157440324999</v>
      </c>
      <c r="M120" s="1">
        <f t="shared" si="6"/>
        <v>10.0050787201625</v>
      </c>
      <c r="N120" s="1" t="str">
        <f t="shared" si="7"/>
        <v>Fabless</v>
      </c>
    </row>
    <row r="121" spans="1:14">
      <c r="A121" s="8">
        <v>2010</v>
      </c>
      <c r="B121" s="8" t="s">
        <v>129</v>
      </c>
      <c r="C121" s="8" t="s">
        <v>130</v>
      </c>
      <c r="D121" s="8" t="s">
        <v>121</v>
      </c>
      <c r="E121" s="8" t="s">
        <v>131</v>
      </c>
      <c r="F121" s="8">
        <v>10.65</v>
      </c>
      <c r="G121" s="8">
        <v>28.4</v>
      </c>
      <c r="H121" s="8">
        <v>3.03</v>
      </c>
      <c r="I121" s="8">
        <v>1.28</v>
      </c>
      <c r="J121" s="8">
        <v>1.07</v>
      </c>
      <c r="K121" s="2" t="str">
        <f t="shared" si="4"/>
        <v>Actual</v>
      </c>
      <c r="L121" s="1">
        <f t="shared" si="5"/>
        <v>12.018779342723001</v>
      </c>
      <c r="M121" s="1">
        <f t="shared" si="6"/>
        <v>10.0469483568075</v>
      </c>
      <c r="N121" s="1" t="str">
        <f t="shared" si="7"/>
        <v>Fabless</v>
      </c>
    </row>
    <row r="122" spans="1:14">
      <c r="A122" s="8">
        <v>2011</v>
      </c>
      <c r="B122" s="8" t="s">
        <v>129</v>
      </c>
      <c r="C122" s="8" t="s">
        <v>130</v>
      </c>
      <c r="D122" s="8" t="s">
        <v>121</v>
      </c>
      <c r="E122" s="8" t="s">
        <v>131</v>
      </c>
      <c r="F122" s="8">
        <v>13.44</v>
      </c>
      <c r="G122" s="8">
        <v>29.7</v>
      </c>
      <c r="H122" s="8">
        <v>3.99</v>
      </c>
      <c r="I122" s="8">
        <v>1.61</v>
      </c>
      <c r="J122" s="8">
        <v>1.34</v>
      </c>
      <c r="K122" s="2" t="str">
        <f t="shared" si="4"/>
        <v>Actual</v>
      </c>
      <c r="L122" s="1">
        <f t="shared" si="5"/>
        <v>11.9791666666667</v>
      </c>
      <c r="M122" s="1">
        <f t="shared" si="6"/>
        <v>9.9702380952381002</v>
      </c>
      <c r="N122" s="1" t="str">
        <f t="shared" si="7"/>
        <v>Fabless</v>
      </c>
    </row>
    <row r="123" spans="1:14">
      <c r="A123" s="8">
        <v>2012</v>
      </c>
      <c r="B123" s="8" t="s">
        <v>129</v>
      </c>
      <c r="C123" s="8" t="s">
        <v>130</v>
      </c>
      <c r="D123" s="8" t="s">
        <v>121</v>
      </c>
      <c r="E123" s="8" t="s">
        <v>131</v>
      </c>
      <c r="F123" s="8">
        <v>15.75</v>
      </c>
      <c r="G123" s="8">
        <v>25.6</v>
      </c>
      <c r="H123" s="8">
        <v>4.03</v>
      </c>
      <c r="I123" s="8">
        <v>1.89</v>
      </c>
      <c r="J123" s="8">
        <v>1.57</v>
      </c>
      <c r="K123" s="2" t="str">
        <f t="shared" si="4"/>
        <v>Actual</v>
      </c>
      <c r="L123" s="1">
        <f t="shared" si="5"/>
        <v>12</v>
      </c>
      <c r="M123" s="1">
        <f t="shared" si="6"/>
        <v>9.9682539682539701</v>
      </c>
      <c r="N123" s="1" t="str">
        <f t="shared" si="7"/>
        <v>Fabless</v>
      </c>
    </row>
    <row r="124" spans="1:14">
      <c r="A124" s="8">
        <v>2013</v>
      </c>
      <c r="B124" s="8" t="s">
        <v>129</v>
      </c>
      <c r="C124" s="8" t="s">
        <v>130</v>
      </c>
      <c r="D124" s="8" t="s">
        <v>121</v>
      </c>
      <c r="E124" s="8" t="s">
        <v>131</v>
      </c>
      <c r="F124" s="8">
        <v>20.68</v>
      </c>
      <c r="G124" s="8">
        <v>26.1</v>
      </c>
      <c r="H124" s="8">
        <v>5.41</v>
      </c>
      <c r="I124" s="8">
        <v>2.48</v>
      </c>
      <c r="J124" s="8">
        <v>2.0699999999999998</v>
      </c>
      <c r="K124" s="2" t="str">
        <f t="shared" si="4"/>
        <v>Actual</v>
      </c>
      <c r="L124" s="1">
        <f t="shared" si="5"/>
        <v>11.992263056092799</v>
      </c>
      <c r="M124" s="1">
        <f t="shared" si="6"/>
        <v>10.009671179883901</v>
      </c>
      <c r="N124" s="1" t="str">
        <f t="shared" si="7"/>
        <v>Fabless</v>
      </c>
    </row>
    <row r="125" spans="1:14">
      <c r="A125" s="8">
        <v>2014</v>
      </c>
      <c r="B125" s="8" t="s">
        <v>129</v>
      </c>
      <c r="C125" s="8" t="s">
        <v>130</v>
      </c>
      <c r="D125" s="8" t="s">
        <v>121</v>
      </c>
      <c r="E125" s="8" t="s">
        <v>131</v>
      </c>
      <c r="F125" s="8">
        <v>21.48</v>
      </c>
      <c r="G125" s="8">
        <v>35.5</v>
      </c>
      <c r="H125" s="8">
        <v>7.63</v>
      </c>
      <c r="I125" s="8">
        <v>2.58</v>
      </c>
      <c r="J125" s="8">
        <v>2.15</v>
      </c>
      <c r="K125" s="2" t="str">
        <f t="shared" si="4"/>
        <v>Actual</v>
      </c>
      <c r="L125" s="1">
        <f t="shared" si="5"/>
        <v>12.011173184357499</v>
      </c>
      <c r="M125" s="1">
        <f t="shared" si="6"/>
        <v>10.0093109869646</v>
      </c>
      <c r="N125" s="1" t="str">
        <f t="shared" si="7"/>
        <v>Fabless</v>
      </c>
    </row>
    <row r="126" spans="1:14">
      <c r="A126" s="8">
        <v>2015</v>
      </c>
      <c r="B126" s="8" t="s">
        <v>129</v>
      </c>
      <c r="C126" s="8" t="s">
        <v>130</v>
      </c>
      <c r="D126" s="8" t="s">
        <v>121</v>
      </c>
      <c r="E126" s="8" t="s">
        <v>131</v>
      </c>
      <c r="F126" s="8">
        <v>27.28</v>
      </c>
      <c r="G126" s="8">
        <v>26.5</v>
      </c>
      <c r="H126" s="8">
        <v>7.22</v>
      </c>
      <c r="I126" s="8">
        <v>3.27</v>
      </c>
      <c r="J126" s="8">
        <v>2.73</v>
      </c>
      <c r="K126" s="2" t="str">
        <f t="shared" si="4"/>
        <v>Actual</v>
      </c>
      <c r="L126" s="1">
        <f t="shared" si="5"/>
        <v>11.986803519061599</v>
      </c>
      <c r="M126" s="1">
        <f t="shared" si="6"/>
        <v>10.007331378299099</v>
      </c>
      <c r="N126" s="1" t="str">
        <f t="shared" si="7"/>
        <v>Fabless</v>
      </c>
    </row>
    <row r="127" spans="1:14">
      <c r="A127" s="8">
        <v>2016</v>
      </c>
      <c r="B127" s="8" t="s">
        <v>129</v>
      </c>
      <c r="C127" s="8" t="s">
        <v>130</v>
      </c>
      <c r="D127" s="8" t="s">
        <v>121</v>
      </c>
      <c r="E127" s="8" t="s">
        <v>131</v>
      </c>
      <c r="F127" s="8">
        <v>23.97</v>
      </c>
      <c r="G127" s="8">
        <v>31</v>
      </c>
      <c r="H127" s="8">
        <v>7.44</v>
      </c>
      <c r="I127" s="8">
        <v>2.88</v>
      </c>
      <c r="J127" s="8">
        <v>2.4</v>
      </c>
      <c r="K127" s="2" t="str">
        <f t="shared" si="4"/>
        <v>Actual</v>
      </c>
      <c r="L127" s="1">
        <f t="shared" si="5"/>
        <v>12.015018773466799</v>
      </c>
      <c r="M127" s="1">
        <f t="shared" si="6"/>
        <v>10.0125156445557</v>
      </c>
      <c r="N127" s="1" t="str">
        <f t="shared" si="7"/>
        <v>Fabless</v>
      </c>
    </row>
    <row r="128" spans="1:14">
      <c r="A128" s="8">
        <v>2017</v>
      </c>
      <c r="B128" s="8" t="s">
        <v>129</v>
      </c>
      <c r="C128" s="8" t="s">
        <v>130</v>
      </c>
      <c r="D128" s="8" t="s">
        <v>121</v>
      </c>
      <c r="E128" s="8" t="s">
        <v>131</v>
      </c>
      <c r="F128" s="8">
        <v>24.72</v>
      </c>
      <c r="G128" s="8">
        <v>27</v>
      </c>
      <c r="H128" s="8">
        <v>6.68</v>
      </c>
      <c r="I128" s="8">
        <v>2.97</v>
      </c>
      <c r="J128" s="8">
        <v>2.4700000000000002</v>
      </c>
      <c r="K128" s="2" t="str">
        <f t="shared" si="4"/>
        <v>Actual</v>
      </c>
      <c r="L128" s="1">
        <f t="shared" si="5"/>
        <v>12.0145631067961</v>
      </c>
      <c r="M128" s="1">
        <f t="shared" si="6"/>
        <v>9.9919093851132708</v>
      </c>
      <c r="N128" s="1" t="str">
        <f t="shared" si="7"/>
        <v>Fabless</v>
      </c>
    </row>
    <row r="129" spans="1:14">
      <c r="A129" s="8">
        <v>2018</v>
      </c>
      <c r="B129" s="8" t="s">
        <v>129</v>
      </c>
      <c r="C129" s="8" t="s">
        <v>130</v>
      </c>
      <c r="D129" s="8" t="s">
        <v>121</v>
      </c>
      <c r="E129" s="8" t="s">
        <v>131</v>
      </c>
      <c r="F129" s="8">
        <v>22.53</v>
      </c>
      <c r="G129" s="8">
        <v>32.299999999999997</v>
      </c>
      <c r="H129" s="8">
        <v>7.29</v>
      </c>
      <c r="I129" s="8">
        <v>2.7</v>
      </c>
      <c r="J129" s="8">
        <v>2.25</v>
      </c>
      <c r="K129" s="2" t="str">
        <f t="shared" si="4"/>
        <v>Actual</v>
      </c>
      <c r="L129" s="1">
        <f t="shared" si="5"/>
        <v>11.984021304926801</v>
      </c>
      <c r="M129" s="1">
        <f t="shared" si="6"/>
        <v>9.9866844207722991</v>
      </c>
      <c r="N129" s="1" t="str">
        <f t="shared" si="7"/>
        <v>Fabless</v>
      </c>
    </row>
    <row r="130" spans="1:14">
      <c r="A130" s="8">
        <v>2019</v>
      </c>
      <c r="B130" s="8" t="s">
        <v>129</v>
      </c>
      <c r="C130" s="8" t="s">
        <v>130</v>
      </c>
      <c r="D130" s="8" t="s">
        <v>121</v>
      </c>
      <c r="E130" s="8" t="s">
        <v>131</v>
      </c>
      <c r="F130" s="8">
        <v>23.4</v>
      </c>
      <c r="G130" s="8">
        <v>28.9</v>
      </c>
      <c r="H130" s="8">
        <v>6.76</v>
      </c>
      <c r="I130" s="8">
        <v>2.81</v>
      </c>
      <c r="J130" s="8">
        <v>2.34</v>
      </c>
      <c r="K130" s="2" t="str">
        <f t="shared" si="4"/>
        <v>Actual</v>
      </c>
      <c r="L130" s="1">
        <f t="shared" si="5"/>
        <v>12.008547008547</v>
      </c>
      <c r="M130" s="1">
        <f t="shared" si="6"/>
        <v>10</v>
      </c>
      <c r="N130" s="1" t="str">
        <f t="shared" si="7"/>
        <v>Fabless</v>
      </c>
    </row>
    <row r="131" spans="1:14">
      <c r="A131" s="8">
        <v>2020</v>
      </c>
      <c r="B131" s="8" t="s">
        <v>129</v>
      </c>
      <c r="C131" s="8" t="s">
        <v>130</v>
      </c>
      <c r="D131" s="8" t="s">
        <v>121</v>
      </c>
      <c r="E131" s="8" t="s">
        <v>131</v>
      </c>
      <c r="F131" s="8">
        <v>23.41</v>
      </c>
      <c r="G131" s="8">
        <v>25.9</v>
      </c>
      <c r="H131" s="8">
        <v>6.06</v>
      </c>
      <c r="I131" s="8">
        <v>2.81</v>
      </c>
      <c r="J131" s="8">
        <v>2.34</v>
      </c>
      <c r="K131" s="2" t="str">
        <f t="shared" ref="K131:K194" si="8">IF(A131&gt;=2025,"Forecast","Actual")</f>
        <v>Actual</v>
      </c>
      <c r="L131" s="1">
        <f t="shared" ref="L131:L194" si="9">IF(F131=0,0,I131/F131*100)</f>
        <v>12.0034173430158</v>
      </c>
      <c r="M131" s="1">
        <f t="shared" ref="M131:M194" si="10">IF(F131=0,0,J131/F131*100)</f>
        <v>9.9957283212302404</v>
      </c>
      <c r="N131" s="1" t="str">
        <f t="shared" ref="N131:N194" si="11">IF(LEFT(E131,7)="fabless","Fabless",IF(LEFT(E131,9)="equipment","Equipment",IF(E131="foundry","Manufacturer",IF(LEFT(E131,3)="idm","Manufacturer",IF(E131="eda_software","EDA Software","Other")))))</f>
        <v>Fabless</v>
      </c>
    </row>
    <row r="132" spans="1:14">
      <c r="A132" s="8">
        <v>2021</v>
      </c>
      <c r="B132" s="8" t="s">
        <v>129</v>
      </c>
      <c r="C132" s="8" t="s">
        <v>130</v>
      </c>
      <c r="D132" s="8" t="s">
        <v>121</v>
      </c>
      <c r="E132" s="8" t="s">
        <v>131</v>
      </c>
      <c r="F132" s="8">
        <v>33.61</v>
      </c>
      <c r="G132" s="8">
        <v>29.2</v>
      </c>
      <c r="H132" s="8">
        <v>9.81</v>
      </c>
      <c r="I132" s="8">
        <v>4.03</v>
      </c>
      <c r="J132" s="8">
        <v>3.36</v>
      </c>
      <c r="K132" s="2" t="str">
        <f t="shared" si="8"/>
        <v>Actual</v>
      </c>
      <c r="L132" s="1">
        <f t="shared" si="9"/>
        <v>11.990479024100001</v>
      </c>
      <c r="M132" s="1">
        <f t="shared" si="10"/>
        <v>9.9970246950312394</v>
      </c>
      <c r="N132" s="1" t="str">
        <f t="shared" si="11"/>
        <v>Fabless</v>
      </c>
    </row>
    <row r="133" spans="1:14">
      <c r="A133" s="8">
        <v>2022</v>
      </c>
      <c r="B133" s="8" t="s">
        <v>129</v>
      </c>
      <c r="C133" s="8" t="s">
        <v>130</v>
      </c>
      <c r="D133" s="8" t="s">
        <v>121</v>
      </c>
      <c r="E133" s="8" t="s">
        <v>131</v>
      </c>
      <c r="F133" s="8">
        <v>44.51</v>
      </c>
      <c r="G133" s="8">
        <v>28.3</v>
      </c>
      <c r="H133" s="8">
        <v>12.61</v>
      </c>
      <c r="I133" s="8">
        <v>5.34</v>
      </c>
      <c r="J133" s="8">
        <v>4.45</v>
      </c>
      <c r="K133" s="2" t="str">
        <f t="shared" si="8"/>
        <v>Actual</v>
      </c>
      <c r="L133" s="1">
        <f t="shared" si="9"/>
        <v>11.9973039766345</v>
      </c>
      <c r="M133" s="1">
        <f t="shared" si="10"/>
        <v>9.9977533138620505</v>
      </c>
      <c r="N133" s="1" t="str">
        <f t="shared" si="11"/>
        <v>Fabless</v>
      </c>
    </row>
    <row r="134" spans="1:14">
      <c r="A134" s="8">
        <v>2023</v>
      </c>
      <c r="B134" s="8" t="s">
        <v>129</v>
      </c>
      <c r="C134" s="8" t="s">
        <v>130</v>
      </c>
      <c r="D134" s="8" t="s">
        <v>121</v>
      </c>
      <c r="E134" s="8" t="s">
        <v>131</v>
      </c>
      <c r="F134" s="8">
        <v>36.31</v>
      </c>
      <c r="G134" s="8">
        <v>23</v>
      </c>
      <c r="H134" s="8">
        <v>8.3699999999999992</v>
      </c>
      <c r="I134" s="8">
        <v>4.3600000000000003</v>
      </c>
      <c r="J134" s="8">
        <v>3.63</v>
      </c>
      <c r="K134" s="2" t="str">
        <f t="shared" si="8"/>
        <v>Actual</v>
      </c>
      <c r="L134" s="1">
        <f t="shared" si="9"/>
        <v>12.0077113742771</v>
      </c>
      <c r="M134" s="1">
        <f t="shared" si="10"/>
        <v>9.9972459377581906</v>
      </c>
      <c r="N134" s="1" t="str">
        <f t="shared" si="11"/>
        <v>Fabless</v>
      </c>
    </row>
    <row r="135" spans="1:14">
      <c r="A135" s="8">
        <v>2024</v>
      </c>
      <c r="B135" s="8" t="s">
        <v>129</v>
      </c>
      <c r="C135" s="8" t="s">
        <v>130</v>
      </c>
      <c r="D135" s="8" t="s">
        <v>121</v>
      </c>
      <c r="E135" s="8" t="s">
        <v>131</v>
      </c>
      <c r="F135" s="8">
        <v>39.18</v>
      </c>
      <c r="G135" s="8">
        <v>31.1</v>
      </c>
      <c r="H135" s="8">
        <v>12.17</v>
      </c>
      <c r="I135" s="8">
        <v>4.7</v>
      </c>
      <c r="J135" s="8">
        <v>3.92</v>
      </c>
      <c r="K135" s="2" t="str">
        <f t="shared" si="8"/>
        <v>Actual</v>
      </c>
      <c r="L135" s="1">
        <f t="shared" si="9"/>
        <v>11.9959162838183</v>
      </c>
      <c r="M135" s="1">
        <f t="shared" si="10"/>
        <v>10.005104645227201</v>
      </c>
      <c r="N135" s="1" t="str">
        <f t="shared" si="11"/>
        <v>Fabless</v>
      </c>
    </row>
    <row r="136" spans="1:14">
      <c r="A136" s="8">
        <v>2025</v>
      </c>
      <c r="B136" s="8" t="s">
        <v>129</v>
      </c>
      <c r="C136" s="8" t="s">
        <v>130</v>
      </c>
      <c r="D136" s="8" t="s">
        <v>121</v>
      </c>
      <c r="E136" s="8" t="s">
        <v>131</v>
      </c>
      <c r="F136" s="8">
        <v>43.07</v>
      </c>
      <c r="G136" s="8">
        <v>30</v>
      </c>
      <c r="H136" s="8">
        <v>12.92</v>
      </c>
      <c r="I136" s="8">
        <v>5.17</v>
      </c>
      <c r="J136" s="8">
        <v>4.3099999999999996</v>
      </c>
      <c r="K136" s="2" t="str">
        <f t="shared" si="8"/>
        <v>Forecast</v>
      </c>
      <c r="L136" s="1">
        <f t="shared" si="9"/>
        <v>12.003714882749</v>
      </c>
      <c r="M136" s="1">
        <f t="shared" si="10"/>
        <v>10.0069654051544</v>
      </c>
      <c r="N136" s="1" t="str">
        <f t="shared" si="11"/>
        <v>Fabless</v>
      </c>
    </row>
    <row r="137" spans="1:14">
      <c r="A137" s="8">
        <v>2026</v>
      </c>
      <c r="B137" s="8" t="s">
        <v>129</v>
      </c>
      <c r="C137" s="8" t="s">
        <v>130</v>
      </c>
      <c r="D137" s="8" t="s">
        <v>121</v>
      </c>
      <c r="E137" s="8" t="s">
        <v>131</v>
      </c>
      <c r="F137" s="8">
        <v>45.99</v>
      </c>
      <c r="G137" s="8">
        <v>30.9</v>
      </c>
      <c r="H137" s="8">
        <v>14.23</v>
      </c>
      <c r="I137" s="8">
        <v>5.52</v>
      </c>
      <c r="J137" s="8">
        <v>4.5999999999999996</v>
      </c>
      <c r="K137" s="2" t="str">
        <f t="shared" si="8"/>
        <v>Forecast</v>
      </c>
      <c r="L137" s="1">
        <f t="shared" si="9"/>
        <v>12.002609262883199</v>
      </c>
      <c r="M137" s="1">
        <f t="shared" si="10"/>
        <v>10.002174385736</v>
      </c>
      <c r="N137" s="1" t="str">
        <f t="shared" si="11"/>
        <v>Fabless</v>
      </c>
    </row>
    <row r="138" spans="1:14">
      <c r="A138" s="8">
        <v>2010</v>
      </c>
      <c r="B138" s="8" t="s">
        <v>132</v>
      </c>
      <c r="C138" s="8" t="s">
        <v>133</v>
      </c>
      <c r="D138" s="8" t="s">
        <v>121</v>
      </c>
      <c r="E138" s="8" t="s">
        <v>134</v>
      </c>
      <c r="F138" s="8">
        <v>2.99</v>
      </c>
      <c r="G138" s="8">
        <v>36.299999999999997</v>
      </c>
      <c r="H138" s="8">
        <v>1.0900000000000001</v>
      </c>
      <c r="I138" s="8">
        <v>0.36</v>
      </c>
      <c r="J138" s="8">
        <v>0.3</v>
      </c>
      <c r="K138" s="2" t="str">
        <f t="shared" si="8"/>
        <v>Actual</v>
      </c>
      <c r="L138" s="1">
        <f t="shared" si="9"/>
        <v>12.040133779264201</v>
      </c>
      <c r="M138" s="1">
        <f t="shared" si="10"/>
        <v>10.0334448160535</v>
      </c>
      <c r="N138" s="1" t="str">
        <f t="shared" si="11"/>
        <v>Fabless</v>
      </c>
    </row>
    <row r="139" spans="1:14">
      <c r="A139" s="8">
        <v>2011</v>
      </c>
      <c r="B139" s="8" t="s">
        <v>132</v>
      </c>
      <c r="C139" s="8" t="s">
        <v>133</v>
      </c>
      <c r="D139" s="8" t="s">
        <v>121</v>
      </c>
      <c r="E139" s="8" t="s">
        <v>134</v>
      </c>
      <c r="F139" s="8">
        <v>3.94</v>
      </c>
      <c r="G139" s="8">
        <v>31.2</v>
      </c>
      <c r="H139" s="8">
        <v>1.23</v>
      </c>
      <c r="I139" s="8">
        <v>0.47</v>
      </c>
      <c r="J139" s="8">
        <v>0.39</v>
      </c>
      <c r="K139" s="2" t="str">
        <f t="shared" si="8"/>
        <v>Actual</v>
      </c>
      <c r="L139" s="1">
        <f t="shared" si="9"/>
        <v>11.9289340101523</v>
      </c>
      <c r="M139" s="1">
        <f t="shared" si="10"/>
        <v>9.8984771573604107</v>
      </c>
      <c r="N139" s="1" t="str">
        <f t="shared" si="11"/>
        <v>Fabless</v>
      </c>
    </row>
    <row r="140" spans="1:14">
      <c r="A140" s="8">
        <v>2012</v>
      </c>
      <c r="B140" s="8" t="s">
        <v>132</v>
      </c>
      <c r="C140" s="8" t="s">
        <v>133</v>
      </c>
      <c r="D140" s="8" t="s">
        <v>121</v>
      </c>
      <c r="E140" s="8" t="s">
        <v>134</v>
      </c>
      <c r="F140" s="8">
        <v>4.42</v>
      </c>
      <c r="G140" s="8">
        <v>26.7</v>
      </c>
      <c r="H140" s="8">
        <v>1.18</v>
      </c>
      <c r="I140" s="8">
        <v>0.53</v>
      </c>
      <c r="J140" s="8">
        <v>0.44</v>
      </c>
      <c r="K140" s="2" t="str">
        <f t="shared" si="8"/>
        <v>Actual</v>
      </c>
      <c r="L140" s="1">
        <f t="shared" si="9"/>
        <v>11.9909502262443</v>
      </c>
      <c r="M140" s="1">
        <f t="shared" si="10"/>
        <v>9.9547511312217196</v>
      </c>
      <c r="N140" s="1" t="str">
        <f t="shared" si="11"/>
        <v>Fabless</v>
      </c>
    </row>
    <row r="141" spans="1:14">
      <c r="A141" s="8">
        <v>2013</v>
      </c>
      <c r="B141" s="8" t="s">
        <v>132</v>
      </c>
      <c r="C141" s="8" t="s">
        <v>133</v>
      </c>
      <c r="D141" s="8" t="s">
        <v>121</v>
      </c>
      <c r="E141" s="8" t="s">
        <v>134</v>
      </c>
      <c r="F141" s="8">
        <v>5.47</v>
      </c>
      <c r="G141" s="8">
        <v>30.8</v>
      </c>
      <c r="H141" s="8">
        <v>1.68</v>
      </c>
      <c r="I141" s="8">
        <v>0.66</v>
      </c>
      <c r="J141" s="8">
        <v>0.55000000000000004</v>
      </c>
      <c r="K141" s="2" t="str">
        <f t="shared" si="8"/>
        <v>Actual</v>
      </c>
      <c r="L141" s="1">
        <f t="shared" si="9"/>
        <v>12.065813528336401</v>
      </c>
      <c r="M141" s="1">
        <f t="shared" si="10"/>
        <v>10.054844606947</v>
      </c>
      <c r="N141" s="1" t="str">
        <f t="shared" si="11"/>
        <v>Fabless</v>
      </c>
    </row>
    <row r="142" spans="1:14">
      <c r="A142" s="8">
        <v>2014</v>
      </c>
      <c r="B142" s="8" t="s">
        <v>132</v>
      </c>
      <c r="C142" s="8" t="s">
        <v>133</v>
      </c>
      <c r="D142" s="8" t="s">
        <v>121</v>
      </c>
      <c r="E142" s="8" t="s">
        <v>134</v>
      </c>
      <c r="F142" s="8">
        <v>6.13</v>
      </c>
      <c r="G142" s="8">
        <v>24.8</v>
      </c>
      <c r="H142" s="8">
        <v>1.52</v>
      </c>
      <c r="I142" s="8">
        <v>0.74</v>
      </c>
      <c r="J142" s="8">
        <v>0.61</v>
      </c>
      <c r="K142" s="2" t="str">
        <f t="shared" si="8"/>
        <v>Actual</v>
      </c>
      <c r="L142" s="1">
        <f t="shared" si="9"/>
        <v>12.071778140293601</v>
      </c>
      <c r="M142" s="1">
        <f t="shared" si="10"/>
        <v>9.9510603588907003</v>
      </c>
      <c r="N142" s="1" t="str">
        <f t="shared" si="11"/>
        <v>Fabless</v>
      </c>
    </row>
    <row r="143" spans="1:14">
      <c r="A143" s="8">
        <v>2015</v>
      </c>
      <c r="B143" s="8" t="s">
        <v>132</v>
      </c>
      <c r="C143" s="8" t="s">
        <v>133</v>
      </c>
      <c r="D143" s="8" t="s">
        <v>121</v>
      </c>
      <c r="E143" s="8" t="s">
        <v>134</v>
      </c>
      <c r="F143" s="8">
        <v>6.99</v>
      </c>
      <c r="G143" s="8">
        <v>31.4</v>
      </c>
      <c r="H143" s="8">
        <v>2.19</v>
      </c>
      <c r="I143" s="8">
        <v>0.84</v>
      </c>
      <c r="J143" s="8">
        <v>0.7</v>
      </c>
      <c r="K143" s="2" t="str">
        <f t="shared" si="8"/>
        <v>Actual</v>
      </c>
      <c r="L143" s="1">
        <f t="shared" si="9"/>
        <v>12.0171673819742</v>
      </c>
      <c r="M143" s="1">
        <f t="shared" si="10"/>
        <v>10.014306151645201</v>
      </c>
      <c r="N143" s="1" t="str">
        <f t="shared" si="11"/>
        <v>Fabless</v>
      </c>
    </row>
    <row r="144" spans="1:14">
      <c r="A144" s="8">
        <v>2016</v>
      </c>
      <c r="B144" s="8" t="s">
        <v>132</v>
      </c>
      <c r="C144" s="8" t="s">
        <v>133</v>
      </c>
      <c r="D144" s="8" t="s">
        <v>121</v>
      </c>
      <c r="E144" s="8" t="s">
        <v>134</v>
      </c>
      <c r="F144" s="8">
        <v>11.09</v>
      </c>
      <c r="G144" s="8">
        <v>28.6</v>
      </c>
      <c r="H144" s="8">
        <v>3.17</v>
      </c>
      <c r="I144" s="8">
        <v>1.33</v>
      </c>
      <c r="J144" s="8">
        <v>1.1100000000000001</v>
      </c>
      <c r="K144" s="2" t="str">
        <f t="shared" si="8"/>
        <v>Actual</v>
      </c>
      <c r="L144" s="1">
        <f t="shared" si="9"/>
        <v>11.992786293958501</v>
      </c>
      <c r="M144" s="1">
        <f t="shared" si="10"/>
        <v>10.009017132551801</v>
      </c>
      <c r="N144" s="1" t="str">
        <f t="shared" si="11"/>
        <v>Fabless</v>
      </c>
    </row>
    <row r="145" spans="1:14">
      <c r="A145" s="8">
        <v>2017</v>
      </c>
      <c r="B145" s="8" t="s">
        <v>132</v>
      </c>
      <c r="C145" s="8" t="s">
        <v>133</v>
      </c>
      <c r="D145" s="8" t="s">
        <v>121</v>
      </c>
      <c r="E145" s="8" t="s">
        <v>134</v>
      </c>
      <c r="F145" s="8">
        <v>16.260000000000002</v>
      </c>
      <c r="G145" s="8">
        <v>30.2</v>
      </c>
      <c r="H145" s="8">
        <v>4.9000000000000004</v>
      </c>
      <c r="I145" s="8">
        <v>1.95</v>
      </c>
      <c r="J145" s="8">
        <v>1.63</v>
      </c>
      <c r="K145" s="2" t="str">
        <f t="shared" si="8"/>
        <v>Actual</v>
      </c>
      <c r="L145" s="1">
        <f t="shared" si="9"/>
        <v>11.9926199261993</v>
      </c>
      <c r="M145" s="1">
        <f t="shared" si="10"/>
        <v>10.0246002460025</v>
      </c>
      <c r="N145" s="1" t="str">
        <f t="shared" si="11"/>
        <v>Fabless</v>
      </c>
    </row>
    <row r="146" spans="1:14">
      <c r="A146" s="8">
        <v>2018</v>
      </c>
      <c r="B146" s="8" t="s">
        <v>132</v>
      </c>
      <c r="C146" s="8" t="s">
        <v>133</v>
      </c>
      <c r="D146" s="8" t="s">
        <v>121</v>
      </c>
      <c r="E146" s="8" t="s">
        <v>134</v>
      </c>
      <c r="F146" s="8">
        <v>20.62</v>
      </c>
      <c r="G146" s="8">
        <v>29.7</v>
      </c>
      <c r="H146" s="8">
        <v>6.12</v>
      </c>
      <c r="I146" s="8">
        <v>2.4700000000000002</v>
      </c>
      <c r="J146" s="8">
        <v>2.06</v>
      </c>
      <c r="K146" s="2" t="str">
        <f t="shared" si="8"/>
        <v>Actual</v>
      </c>
      <c r="L146" s="1">
        <f t="shared" si="9"/>
        <v>11.9786614936954</v>
      </c>
      <c r="M146" s="1">
        <f t="shared" si="10"/>
        <v>9.9903006789524706</v>
      </c>
      <c r="N146" s="1" t="str">
        <f t="shared" si="11"/>
        <v>Fabless</v>
      </c>
    </row>
    <row r="147" spans="1:14">
      <c r="A147" s="8">
        <v>2019</v>
      </c>
      <c r="B147" s="8" t="s">
        <v>132</v>
      </c>
      <c r="C147" s="8" t="s">
        <v>133</v>
      </c>
      <c r="D147" s="8" t="s">
        <v>121</v>
      </c>
      <c r="E147" s="8" t="s">
        <v>134</v>
      </c>
      <c r="F147" s="8">
        <v>22.18</v>
      </c>
      <c r="G147" s="8">
        <v>30.5</v>
      </c>
      <c r="H147" s="8">
        <v>6.76</v>
      </c>
      <c r="I147" s="8">
        <v>2.66</v>
      </c>
      <c r="J147" s="8">
        <v>2.2200000000000002</v>
      </c>
      <c r="K147" s="2" t="str">
        <f t="shared" si="8"/>
        <v>Actual</v>
      </c>
      <c r="L147" s="1">
        <f t="shared" si="9"/>
        <v>11.992786293958501</v>
      </c>
      <c r="M147" s="1">
        <f t="shared" si="10"/>
        <v>10.009017132551801</v>
      </c>
      <c r="N147" s="1" t="str">
        <f t="shared" si="11"/>
        <v>Fabless</v>
      </c>
    </row>
    <row r="148" spans="1:14">
      <c r="A148" s="8">
        <v>2020</v>
      </c>
      <c r="B148" s="8" t="s">
        <v>132</v>
      </c>
      <c r="C148" s="8" t="s">
        <v>133</v>
      </c>
      <c r="D148" s="8" t="s">
        <v>121</v>
      </c>
      <c r="E148" s="8" t="s">
        <v>134</v>
      </c>
      <c r="F148" s="8">
        <v>24.98</v>
      </c>
      <c r="G148" s="8">
        <v>22.3</v>
      </c>
      <c r="H148" s="8">
        <v>5.57</v>
      </c>
      <c r="I148" s="8">
        <v>3</v>
      </c>
      <c r="J148" s="8">
        <v>2.5</v>
      </c>
      <c r="K148" s="2" t="str">
        <f t="shared" si="8"/>
        <v>Actual</v>
      </c>
      <c r="L148" s="1">
        <f t="shared" si="9"/>
        <v>12.0096076861489</v>
      </c>
      <c r="M148" s="1">
        <f t="shared" si="10"/>
        <v>10.0080064051241</v>
      </c>
      <c r="N148" s="1" t="str">
        <f t="shared" si="11"/>
        <v>Fabless</v>
      </c>
    </row>
    <row r="149" spans="1:14">
      <c r="A149" s="8">
        <v>2021</v>
      </c>
      <c r="B149" s="8" t="s">
        <v>132</v>
      </c>
      <c r="C149" s="8" t="s">
        <v>133</v>
      </c>
      <c r="D149" s="8" t="s">
        <v>121</v>
      </c>
      <c r="E149" s="8" t="s">
        <v>134</v>
      </c>
      <c r="F149" s="8">
        <v>28.35</v>
      </c>
      <c r="G149" s="8">
        <v>30.5</v>
      </c>
      <c r="H149" s="8">
        <v>8.65</v>
      </c>
      <c r="I149" s="8">
        <v>3.4</v>
      </c>
      <c r="J149" s="8">
        <v>2.83</v>
      </c>
      <c r="K149" s="2" t="str">
        <f t="shared" si="8"/>
        <v>Actual</v>
      </c>
      <c r="L149" s="1">
        <f t="shared" si="9"/>
        <v>11.992945326278701</v>
      </c>
      <c r="M149" s="1">
        <f t="shared" si="10"/>
        <v>9.9823633156966505</v>
      </c>
      <c r="N149" s="1" t="str">
        <f t="shared" si="11"/>
        <v>Fabless</v>
      </c>
    </row>
    <row r="150" spans="1:14">
      <c r="A150" s="8">
        <v>2022</v>
      </c>
      <c r="B150" s="8" t="s">
        <v>132</v>
      </c>
      <c r="C150" s="8" t="s">
        <v>133</v>
      </c>
      <c r="D150" s="8" t="s">
        <v>121</v>
      </c>
      <c r="E150" s="8" t="s">
        <v>134</v>
      </c>
      <c r="F150" s="8">
        <v>33.5</v>
      </c>
      <c r="G150" s="8">
        <v>28.9</v>
      </c>
      <c r="H150" s="8">
        <v>9.68</v>
      </c>
      <c r="I150" s="8">
        <v>4.0199999999999996</v>
      </c>
      <c r="J150" s="8">
        <v>3.35</v>
      </c>
      <c r="K150" s="2" t="str">
        <f t="shared" si="8"/>
        <v>Actual</v>
      </c>
      <c r="L150" s="1">
        <f t="shared" si="9"/>
        <v>12</v>
      </c>
      <c r="M150" s="1">
        <f t="shared" si="10"/>
        <v>10</v>
      </c>
      <c r="N150" s="1" t="str">
        <f t="shared" si="11"/>
        <v>Fabless</v>
      </c>
    </row>
    <row r="151" spans="1:14">
      <c r="A151" s="8">
        <v>2023</v>
      </c>
      <c r="B151" s="8" t="s">
        <v>132</v>
      </c>
      <c r="C151" s="8" t="s">
        <v>133</v>
      </c>
      <c r="D151" s="8" t="s">
        <v>121</v>
      </c>
      <c r="E151" s="8" t="s">
        <v>134</v>
      </c>
      <c r="F151" s="8">
        <v>33.96</v>
      </c>
      <c r="G151" s="8">
        <v>31</v>
      </c>
      <c r="H151" s="8">
        <v>10.52</v>
      </c>
      <c r="I151" s="8">
        <v>4.08</v>
      </c>
      <c r="J151" s="8">
        <v>3.4</v>
      </c>
      <c r="K151" s="2" t="str">
        <f t="shared" si="8"/>
        <v>Actual</v>
      </c>
      <c r="L151" s="1">
        <f t="shared" si="9"/>
        <v>12.0141342756184</v>
      </c>
      <c r="M151" s="1">
        <f t="shared" si="10"/>
        <v>10.0117785630153</v>
      </c>
      <c r="N151" s="1" t="str">
        <f t="shared" si="11"/>
        <v>Fabless</v>
      </c>
    </row>
    <row r="152" spans="1:14">
      <c r="A152" s="8">
        <v>2024</v>
      </c>
      <c r="B152" s="8" t="s">
        <v>132</v>
      </c>
      <c r="C152" s="8" t="s">
        <v>133</v>
      </c>
      <c r="D152" s="8" t="s">
        <v>121</v>
      </c>
      <c r="E152" s="8" t="s">
        <v>134</v>
      </c>
      <c r="F152" s="8">
        <v>54.34</v>
      </c>
      <c r="G152" s="8">
        <v>25.4</v>
      </c>
      <c r="H152" s="8">
        <v>13.8</v>
      </c>
      <c r="I152" s="8">
        <v>6.52</v>
      </c>
      <c r="J152" s="8">
        <v>5.43</v>
      </c>
      <c r="K152" s="2" t="str">
        <f t="shared" si="8"/>
        <v>Actual</v>
      </c>
      <c r="L152" s="1">
        <f t="shared" si="9"/>
        <v>11.9985277880015</v>
      </c>
      <c r="M152" s="1">
        <f t="shared" si="10"/>
        <v>9.9926389400073603</v>
      </c>
      <c r="N152" s="1" t="str">
        <f t="shared" si="11"/>
        <v>Fabless</v>
      </c>
    </row>
    <row r="153" spans="1:14">
      <c r="A153" s="8">
        <v>2025</v>
      </c>
      <c r="B153" s="8" t="s">
        <v>132</v>
      </c>
      <c r="C153" s="8" t="s">
        <v>133</v>
      </c>
      <c r="D153" s="8" t="s">
        <v>121</v>
      </c>
      <c r="E153" s="8" t="s">
        <v>134</v>
      </c>
      <c r="F153" s="8">
        <v>62.4</v>
      </c>
      <c r="G153" s="8">
        <v>29</v>
      </c>
      <c r="H153" s="8">
        <v>18.100000000000001</v>
      </c>
      <c r="I153" s="8">
        <v>7.49</v>
      </c>
      <c r="J153" s="8">
        <v>6.24</v>
      </c>
      <c r="K153" s="2" t="str">
        <f t="shared" si="8"/>
        <v>Forecast</v>
      </c>
      <c r="L153" s="1">
        <f t="shared" si="9"/>
        <v>12.003205128205099</v>
      </c>
      <c r="M153" s="1">
        <f t="shared" si="10"/>
        <v>10</v>
      </c>
      <c r="N153" s="1" t="str">
        <f t="shared" si="11"/>
        <v>Fabless</v>
      </c>
    </row>
    <row r="154" spans="1:14">
      <c r="A154" s="8">
        <v>2026</v>
      </c>
      <c r="B154" s="8" t="s">
        <v>132</v>
      </c>
      <c r="C154" s="8" t="s">
        <v>133</v>
      </c>
      <c r="D154" s="8" t="s">
        <v>121</v>
      </c>
      <c r="E154" s="8" t="s">
        <v>134</v>
      </c>
      <c r="F154" s="8">
        <v>69.87</v>
      </c>
      <c r="G154" s="8">
        <v>26.8</v>
      </c>
      <c r="H154" s="8">
        <v>18.75</v>
      </c>
      <c r="I154" s="8">
        <v>8.3800000000000008</v>
      </c>
      <c r="J154" s="8">
        <v>6.99</v>
      </c>
      <c r="K154" s="2" t="str">
        <f t="shared" si="8"/>
        <v>Forecast</v>
      </c>
      <c r="L154" s="1">
        <f t="shared" si="9"/>
        <v>11.993702590525301</v>
      </c>
      <c r="M154" s="1">
        <f t="shared" si="10"/>
        <v>10.004293688278199</v>
      </c>
      <c r="N154" s="1" t="str">
        <f t="shared" si="11"/>
        <v>Fabless</v>
      </c>
    </row>
    <row r="155" spans="1:14">
      <c r="A155" s="8">
        <v>2010</v>
      </c>
      <c r="B155" s="8" t="s">
        <v>135</v>
      </c>
      <c r="C155" s="8">
        <v>2454</v>
      </c>
      <c r="D155" s="8" t="s">
        <v>114</v>
      </c>
      <c r="E155" s="8" t="s">
        <v>131</v>
      </c>
      <c r="F155" s="8">
        <v>3.56</v>
      </c>
      <c r="G155" s="8">
        <v>33.9</v>
      </c>
      <c r="H155" s="8">
        <v>1.21</v>
      </c>
      <c r="I155" s="8">
        <v>0.43</v>
      </c>
      <c r="J155" s="8">
        <v>0.36</v>
      </c>
      <c r="K155" s="2" t="str">
        <f t="shared" si="8"/>
        <v>Actual</v>
      </c>
      <c r="L155" s="1">
        <f t="shared" si="9"/>
        <v>12.0786516853933</v>
      </c>
      <c r="M155" s="1">
        <f t="shared" si="10"/>
        <v>10.1123595505618</v>
      </c>
      <c r="N155" s="1" t="str">
        <f t="shared" si="11"/>
        <v>Fabless</v>
      </c>
    </row>
    <row r="156" spans="1:14">
      <c r="A156" s="8">
        <v>2011</v>
      </c>
      <c r="B156" s="8" t="s">
        <v>135</v>
      </c>
      <c r="C156" s="8">
        <v>2454</v>
      </c>
      <c r="D156" s="8" t="s">
        <v>114</v>
      </c>
      <c r="E156" s="8" t="s">
        <v>131</v>
      </c>
      <c r="F156" s="8">
        <v>4.2300000000000004</v>
      </c>
      <c r="G156" s="8">
        <v>35.200000000000003</v>
      </c>
      <c r="H156" s="8">
        <v>1.49</v>
      </c>
      <c r="I156" s="8">
        <v>0.51</v>
      </c>
      <c r="J156" s="8">
        <v>0.42</v>
      </c>
      <c r="K156" s="2" t="str">
        <f t="shared" si="8"/>
        <v>Actual</v>
      </c>
      <c r="L156" s="1">
        <f t="shared" si="9"/>
        <v>12.056737588652499</v>
      </c>
      <c r="M156" s="1">
        <f t="shared" si="10"/>
        <v>9.9290780141843999</v>
      </c>
      <c r="N156" s="1" t="str">
        <f t="shared" si="11"/>
        <v>Fabless</v>
      </c>
    </row>
    <row r="157" spans="1:14">
      <c r="A157" s="8">
        <v>2012</v>
      </c>
      <c r="B157" s="8" t="s">
        <v>135</v>
      </c>
      <c r="C157" s="8">
        <v>2454</v>
      </c>
      <c r="D157" s="8" t="s">
        <v>114</v>
      </c>
      <c r="E157" s="8" t="s">
        <v>131</v>
      </c>
      <c r="F157" s="8">
        <v>4.8899999999999997</v>
      </c>
      <c r="G157" s="8">
        <v>31.3</v>
      </c>
      <c r="H157" s="8">
        <v>1.53</v>
      </c>
      <c r="I157" s="8">
        <v>0.59</v>
      </c>
      <c r="J157" s="8">
        <v>0.49</v>
      </c>
      <c r="K157" s="2" t="str">
        <f t="shared" si="8"/>
        <v>Actual</v>
      </c>
      <c r="L157" s="1">
        <f t="shared" si="9"/>
        <v>12.065439672801601</v>
      </c>
      <c r="M157" s="1">
        <f t="shared" si="10"/>
        <v>10.020449897750501</v>
      </c>
      <c r="N157" s="1" t="str">
        <f t="shared" si="11"/>
        <v>Fabless</v>
      </c>
    </row>
    <row r="158" spans="1:14">
      <c r="A158" s="8">
        <v>2013</v>
      </c>
      <c r="B158" s="8" t="s">
        <v>135</v>
      </c>
      <c r="C158" s="8">
        <v>2454</v>
      </c>
      <c r="D158" s="8" t="s">
        <v>114</v>
      </c>
      <c r="E158" s="8" t="s">
        <v>131</v>
      </c>
      <c r="F158" s="8">
        <v>5.56</v>
      </c>
      <c r="G158" s="8">
        <v>31.3</v>
      </c>
      <c r="H158" s="8">
        <v>1.74</v>
      </c>
      <c r="I158" s="8">
        <v>0.67</v>
      </c>
      <c r="J158" s="8">
        <v>0.56000000000000005</v>
      </c>
      <c r="K158" s="2" t="str">
        <f t="shared" si="8"/>
        <v>Actual</v>
      </c>
      <c r="L158" s="1">
        <f t="shared" si="9"/>
        <v>12.0503597122302</v>
      </c>
      <c r="M158" s="1">
        <f t="shared" si="10"/>
        <v>10.071942446043201</v>
      </c>
      <c r="N158" s="1" t="str">
        <f t="shared" si="11"/>
        <v>Fabless</v>
      </c>
    </row>
    <row r="159" spans="1:14">
      <c r="A159" s="8">
        <v>2014</v>
      </c>
      <c r="B159" s="8" t="s">
        <v>135</v>
      </c>
      <c r="C159" s="8">
        <v>2454</v>
      </c>
      <c r="D159" s="8" t="s">
        <v>114</v>
      </c>
      <c r="E159" s="8" t="s">
        <v>131</v>
      </c>
      <c r="F159" s="8">
        <v>5.99</v>
      </c>
      <c r="G159" s="8">
        <v>29.1</v>
      </c>
      <c r="H159" s="8">
        <v>1.74</v>
      </c>
      <c r="I159" s="8">
        <v>0.72</v>
      </c>
      <c r="J159" s="8">
        <v>0.6</v>
      </c>
      <c r="K159" s="2" t="str">
        <f t="shared" si="8"/>
        <v>Actual</v>
      </c>
      <c r="L159" s="1">
        <f t="shared" si="9"/>
        <v>12.0200333889816</v>
      </c>
      <c r="M159" s="1">
        <f t="shared" si="10"/>
        <v>10.016694490818001</v>
      </c>
      <c r="N159" s="1" t="str">
        <f t="shared" si="11"/>
        <v>Fabless</v>
      </c>
    </row>
    <row r="160" spans="1:14">
      <c r="A160" s="8">
        <v>2015</v>
      </c>
      <c r="B160" s="8" t="s">
        <v>135</v>
      </c>
      <c r="C160" s="8">
        <v>2454</v>
      </c>
      <c r="D160" s="8" t="s">
        <v>114</v>
      </c>
      <c r="E160" s="8" t="s">
        <v>131</v>
      </c>
      <c r="F160" s="8">
        <v>6.41</v>
      </c>
      <c r="G160" s="8">
        <v>27.9</v>
      </c>
      <c r="H160" s="8">
        <v>1.79</v>
      </c>
      <c r="I160" s="8">
        <v>0.77</v>
      </c>
      <c r="J160" s="8">
        <v>0.64</v>
      </c>
      <c r="K160" s="2" t="str">
        <f t="shared" si="8"/>
        <v>Actual</v>
      </c>
      <c r="L160" s="1">
        <f t="shared" si="9"/>
        <v>12.01248049922</v>
      </c>
      <c r="M160" s="1">
        <f t="shared" si="10"/>
        <v>9.9843993759750393</v>
      </c>
      <c r="N160" s="1" t="str">
        <f t="shared" si="11"/>
        <v>Fabless</v>
      </c>
    </row>
    <row r="161" spans="1:14">
      <c r="A161" s="8">
        <v>2016</v>
      </c>
      <c r="B161" s="8" t="s">
        <v>135</v>
      </c>
      <c r="C161" s="8">
        <v>2454</v>
      </c>
      <c r="D161" s="8" t="s">
        <v>114</v>
      </c>
      <c r="E161" s="8" t="s">
        <v>131</v>
      </c>
      <c r="F161" s="8">
        <v>7</v>
      </c>
      <c r="G161" s="8">
        <v>26.5</v>
      </c>
      <c r="H161" s="8">
        <v>1.85</v>
      </c>
      <c r="I161" s="8">
        <v>0.84</v>
      </c>
      <c r="J161" s="8">
        <v>0.7</v>
      </c>
      <c r="K161" s="2" t="str">
        <f t="shared" si="8"/>
        <v>Actual</v>
      </c>
      <c r="L161" s="1">
        <f t="shared" si="9"/>
        <v>12</v>
      </c>
      <c r="M161" s="1">
        <f t="shared" si="10"/>
        <v>10</v>
      </c>
      <c r="N161" s="1" t="str">
        <f t="shared" si="11"/>
        <v>Fabless</v>
      </c>
    </row>
    <row r="162" spans="1:14">
      <c r="A162" s="8">
        <v>2017</v>
      </c>
      <c r="B162" s="8" t="s">
        <v>135</v>
      </c>
      <c r="C162" s="8">
        <v>2454</v>
      </c>
      <c r="D162" s="8" t="s">
        <v>114</v>
      </c>
      <c r="E162" s="8" t="s">
        <v>131</v>
      </c>
      <c r="F162" s="8">
        <v>7.37</v>
      </c>
      <c r="G162" s="8">
        <v>29.4</v>
      </c>
      <c r="H162" s="8">
        <v>2.17</v>
      </c>
      <c r="I162" s="8">
        <v>0.88</v>
      </c>
      <c r="J162" s="8">
        <v>0.74</v>
      </c>
      <c r="K162" s="2" t="str">
        <f t="shared" si="8"/>
        <v>Actual</v>
      </c>
      <c r="L162" s="1">
        <f t="shared" si="9"/>
        <v>11.9402985074627</v>
      </c>
      <c r="M162" s="1">
        <f t="shared" si="10"/>
        <v>10.040705563093599</v>
      </c>
      <c r="N162" s="1" t="str">
        <f t="shared" si="11"/>
        <v>Fabless</v>
      </c>
    </row>
    <row r="163" spans="1:14">
      <c r="A163" s="8">
        <v>2018</v>
      </c>
      <c r="B163" s="8" t="s">
        <v>135</v>
      </c>
      <c r="C163" s="8">
        <v>2454</v>
      </c>
      <c r="D163" s="8" t="s">
        <v>114</v>
      </c>
      <c r="E163" s="8" t="s">
        <v>131</v>
      </c>
      <c r="F163" s="8">
        <v>7.87</v>
      </c>
      <c r="G163" s="8">
        <v>32.299999999999997</v>
      </c>
      <c r="H163" s="8">
        <v>2.54</v>
      </c>
      <c r="I163" s="8">
        <v>0.94</v>
      </c>
      <c r="J163" s="8">
        <v>0.79</v>
      </c>
      <c r="K163" s="2" t="str">
        <f t="shared" si="8"/>
        <v>Actual</v>
      </c>
      <c r="L163" s="1">
        <f t="shared" si="9"/>
        <v>11.9440914866582</v>
      </c>
      <c r="M163" s="1">
        <f t="shared" si="10"/>
        <v>10.038119440914899</v>
      </c>
      <c r="N163" s="1" t="str">
        <f t="shared" si="11"/>
        <v>Fabless</v>
      </c>
    </row>
    <row r="164" spans="1:14">
      <c r="A164" s="8">
        <v>2019</v>
      </c>
      <c r="B164" s="8" t="s">
        <v>135</v>
      </c>
      <c r="C164" s="8">
        <v>2454</v>
      </c>
      <c r="D164" s="8" t="s">
        <v>114</v>
      </c>
      <c r="E164" s="8" t="s">
        <v>131</v>
      </c>
      <c r="F164" s="8">
        <v>9.77</v>
      </c>
      <c r="G164" s="8">
        <v>32.200000000000003</v>
      </c>
      <c r="H164" s="8">
        <v>3.14</v>
      </c>
      <c r="I164" s="8">
        <v>1.17</v>
      </c>
      <c r="J164" s="8">
        <v>0.98</v>
      </c>
      <c r="K164" s="2" t="str">
        <f t="shared" si="8"/>
        <v>Actual</v>
      </c>
      <c r="L164" s="1">
        <f t="shared" si="9"/>
        <v>11.975435005117699</v>
      </c>
      <c r="M164" s="1">
        <f t="shared" si="10"/>
        <v>10.0307062436029</v>
      </c>
      <c r="N164" s="1" t="str">
        <f t="shared" si="11"/>
        <v>Fabless</v>
      </c>
    </row>
    <row r="165" spans="1:14">
      <c r="A165" s="8">
        <v>2020</v>
      </c>
      <c r="B165" s="8" t="s">
        <v>135</v>
      </c>
      <c r="C165" s="8">
        <v>2454</v>
      </c>
      <c r="D165" s="8" t="s">
        <v>114</v>
      </c>
      <c r="E165" s="8" t="s">
        <v>131</v>
      </c>
      <c r="F165" s="8">
        <v>10.4</v>
      </c>
      <c r="G165" s="8">
        <v>29.8</v>
      </c>
      <c r="H165" s="8">
        <v>3.1</v>
      </c>
      <c r="I165" s="8">
        <v>1.25</v>
      </c>
      <c r="J165" s="8">
        <v>1.04</v>
      </c>
      <c r="K165" s="2" t="str">
        <f t="shared" si="8"/>
        <v>Actual</v>
      </c>
      <c r="L165" s="1">
        <f t="shared" si="9"/>
        <v>12.0192307692308</v>
      </c>
      <c r="M165" s="1">
        <f t="shared" si="10"/>
        <v>10</v>
      </c>
      <c r="N165" s="1" t="str">
        <f t="shared" si="11"/>
        <v>Fabless</v>
      </c>
    </row>
    <row r="166" spans="1:14">
      <c r="A166" s="8">
        <v>2021</v>
      </c>
      <c r="B166" s="8" t="s">
        <v>135</v>
      </c>
      <c r="C166" s="8">
        <v>2454</v>
      </c>
      <c r="D166" s="8" t="s">
        <v>114</v>
      </c>
      <c r="E166" s="8" t="s">
        <v>131</v>
      </c>
      <c r="F166" s="8">
        <v>14.24</v>
      </c>
      <c r="G166" s="8">
        <v>28.4</v>
      </c>
      <c r="H166" s="8">
        <v>4.05</v>
      </c>
      <c r="I166" s="8">
        <v>1.71</v>
      </c>
      <c r="J166" s="8">
        <v>1.42</v>
      </c>
      <c r="K166" s="2" t="str">
        <f t="shared" si="8"/>
        <v>Actual</v>
      </c>
      <c r="L166" s="1">
        <f t="shared" si="9"/>
        <v>12.008426966292101</v>
      </c>
      <c r="M166" s="1">
        <f t="shared" si="10"/>
        <v>9.9719101123595504</v>
      </c>
      <c r="N166" s="1" t="str">
        <f t="shared" si="11"/>
        <v>Fabless</v>
      </c>
    </row>
    <row r="167" spans="1:14">
      <c r="A167" s="8">
        <v>2022</v>
      </c>
      <c r="B167" s="8" t="s">
        <v>135</v>
      </c>
      <c r="C167" s="8">
        <v>2454</v>
      </c>
      <c r="D167" s="8" t="s">
        <v>114</v>
      </c>
      <c r="E167" s="8" t="s">
        <v>131</v>
      </c>
      <c r="F167" s="8">
        <v>19.46</v>
      </c>
      <c r="G167" s="8">
        <v>31.9</v>
      </c>
      <c r="H167" s="8">
        <v>6.21</v>
      </c>
      <c r="I167" s="8">
        <v>2.34</v>
      </c>
      <c r="J167" s="8">
        <v>1.95</v>
      </c>
      <c r="K167" s="2" t="str">
        <f t="shared" si="8"/>
        <v>Actual</v>
      </c>
      <c r="L167" s="1">
        <f t="shared" si="9"/>
        <v>12.024665981500499</v>
      </c>
      <c r="M167" s="1">
        <f t="shared" si="10"/>
        <v>10.0205549845838</v>
      </c>
      <c r="N167" s="1" t="str">
        <f t="shared" si="11"/>
        <v>Fabless</v>
      </c>
    </row>
    <row r="168" spans="1:14">
      <c r="A168" s="8">
        <v>2023</v>
      </c>
      <c r="B168" s="8" t="s">
        <v>135</v>
      </c>
      <c r="C168" s="8">
        <v>2454</v>
      </c>
      <c r="D168" s="8" t="s">
        <v>114</v>
      </c>
      <c r="E168" s="8" t="s">
        <v>131</v>
      </c>
      <c r="F168" s="8">
        <v>13.32</v>
      </c>
      <c r="G168" s="8">
        <v>17</v>
      </c>
      <c r="H168" s="8">
        <v>2.2599999999999998</v>
      </c>
      <c r="I168" s="8">
        <v>1.6</v>
      </c>
      <c r="J168" s="8">
        <v>1.33</v>
      </c>
      <c r="K168" s="2" t="str">
        <f t="shared" si="8"/>
        <v>Actual</v>
      </c>
      <c r="L168" s="1">
        <f t="shared" si="9"/>
        <v>12.012012012012001</v>
      </c>
      <c r="M168" s="1">
        <f t="shared" si="10"/>
        <v>9.9849849849849797</v>
      </c>
      <c r="N168" s="1" t="str">
        <f t="shared" si="11"/>
        <v>Fabless</v>
      </c>
    </row>
    <row r="169" spans="1:14">
      <c r="A169" s="8">
        <v>2024</v>
      </c>
      <c r="B169" s="8" t="s">
        <v>135</v>
      </c>
      <c r="C169" s="8">
        <v>2454</v>
      </c>
      <c r="D169" s="8" t="s">
        <v>114</v>
      </c>
      <c r="E169" s="8" t="s">
        <v>131</v>
      </c>
      <c r="F169" s="8">
        <v>17.02</v>
      </c>
      <c r="G169" s="8">
        <v>26.4</v>
      </c>
      <c r="H169" s="8">
        <v>4.4800000000000004</v>
      </c>
      <c r="I169" s="8">
        <v>2.04</v>
      </c>
      <c r="J169" s="8">
        <v>1.7</v>
      </c>
      <c r="K169" s="2" t="str">
        <f t="shared" si="8"/>
        <v>Actual</v>
      </c>
      <c r="L169" s="1">
        <f t="shared" si="9"/>
        <v>11.9858989424207</v>
      </c>
      <c r="M169" s="1">
        <f t="shared" si="10"/>
        <v>9.9882491186838998</v>
      </c>
      <c r="N169" s="1" t="str">
        <f t="shared" si="11"/>
        <v>Fabless</v>
      </c>
    </row>
    <row r="170" spans="1:14">
      <c r="A170" s="8">
        <v>2025</v>
      </c>
      <c r="B170" s="8" t="s">
        <v>135</v>
      </c>
      <c r="C170" s="8">
        <v>2454</v>
      </c>
      <c r="D170" s="8" t="s">
        <v>114</v>
      </c>
      <c r="E170" s="8" t="s">
        <v>131</v>
      </c>
      <c r="F170" s="8">
        <v>18.62</v>
      </c>
      <c r="G170" s="8">
        <v>30.9</v>
      </c>
      <c r="H170" s="8">
        <v>5.76</v>
      </c>
      <c r="I170" s="8">
        <v>2.23</v>
      </c>
      <c r="J170" s="8">
        <v>1.86</v>
      </c>
      <c r="K170" s="2" t="str">
        <f t="shared" si="8"/>
        <v>Forecast</v>
      </c>
      <c r="L170" s="1">
        <f t="shared" si="9"/>
        <v>11.9763694951665</v>
      </c>
      <c r="M170" s="1">
        <f t="shared" si="10"/>
        <v>9.9892588614393105</v>
      </c>
      <c r="N170" s="1" t="str">
        <f t="shared" si="11"/>
        <v>Fabless</v>
      </c>
    </row>
    <row r="171" spans="1:14">
      <c r="A171" s="8">
        <v>2026</v>
      </c>
      <c r="B171" s="8" t="s">
        <v>135</v>
      </c>
      <c r="C171" s="8">
        <v>2454</v>
      </c>
      <c r="D171" s="8" t="s">
        <v>114</v>
      </c>
      <c r="E171" s="8" t="s">
        <v>131</v>
      </c>
      <c r="F171" s="8">
        <v>21.74</v>
      </c>
      <c r="G171" s="8">
        <v>31.8</v>
      </c>
      <c r="H171" s="8">
        <v>6.92</v>
      </c>
      <c r="I171" s="8">
        <v>2.61</v>
      </c>
      <c r="J171" s="8">
        <v>2.17</v>
      </c>
      <c r="K171" s="2" t="str">
        <f t="shared" si="8"/>
        <v>Forecast</v>
      </c>
      <c r="L171" s="1">
        <f t="shared" si="9"/>
        <v>12.0055197792088</v>
      </c>
      <c r="M171" s="1">
        <f t="shared" si="10"/>
        <v>9.9816007359705594</v>
      </c>
      <c r="N171" s="1" t="str">
        <f t="shared" si="11"/>
        <v>Fabless</v>
      </c>
    </row>
    <row r="172" spans="1:14">
      <c r="A172" s="8">
        <v>2010</v>
      </c>
      <c r="B172" s="8" t="s">
        <v>136</v>
      </c>
      <c r="C172" s="8" t="s">
        <v>137</v>
      </c>
      <c r="D172" s="8" t="s">
        <v>121</v>
      </c>
      <c r="E172" s="8" t="s">
        <v>138</v>
      </c>
      <c r="F172" s="8">
        <v>3.36</v>
      </c>
      <c r="G172" s="8">
        <v>25.9</v>
      </c>
      <c r="H172" s="8">
        <v>0.87</v>
      </c>
      <c r="I172" s="8">
        <v>0.4</v>
      </c>
      <c r="J172" s="8">
        <v>0.34</v>
      </c>
      <c r="K172" s="2" t="str">
        <f t="shared" si="8"/>
        <v>Actual</v>
      </c>
      <c r="L172" s="1">
        <f t="shared" si="9"/>
        <v>11.9047619047619</v>
      </c>
      <c r="M172" s="1">
        <f t="shared" si="10"/>
        <v>10.119047619047601</v>
      </c>
      <c r="N172" s="1" t="str">
        <f t="shared" si="11"/>
        <v>Fabless</v>
      </c>
    </row>
    <row r="173" spans="1:14">
      <c r="A173" s="8">
        <v>2011</v>
      </c>
      <c r="B173" s="8" t="s">
        <v>136</v>
      </c>
      <c r="C173" s="8" t="s">
        <v>137</v>
      </c>
      <c r="D173" s="8" t="s">
        <v>121</v>
      </c>
      <c r="E173" s="8" t="s">
        <v>138</v>
      </c>
      <c r="F173" s="8">
        <v>3.43</v>
      </c>
      <c r="G173" s="8">
        <v>26.2</v>
      </c>
      <c r="H173" s="8">
        <v>0.9</v>
      </c>
      <c r="I173" s="8">
        <v>0.41</v>
      </c>
      <c r="J173" s="8">
        <v>0.34</v>
      </c>
      <c r="K173" s="2" t="str">
        <f t="shared" si="8"/>
        <v>Actual</v>
      </c>
      <c r="L173" s="1">
        <f t="shared" si="9"/>
        <v>11.9533527696793</v>
      </c>
      <c r="M173" s="1">
        <f t="shared" si="10"/>
        <v>9.9125364431486904</v>
      </c>
      <c r="N173" s="1" t="str">
        <f t="shared" si="11"/>
        <v>Fabless</v>
      </c>
    </row>
    <row r="174" spans="1:14">
      <c r="A174" s="8">
        <v>2012</v>
      </c>
      <c r="B174" s="8" t="s">
        <v>136</v>
      </c>
      <c r="C174" s="8" t="s">
        <v>137</v>
      </c>
      <c r="D174" s="8" t="s">
        <v>121</v>
      </c>
      <c r="E174" s="8" t="s">
        <v>138</v>
      </c>
      <c r="F174" s="8">
        <v>3.4</v>
      </c>
      <c r="G174" s="8">
        <v>18.8</v>
      </c>
      <c r="H174" s="8">
        <v>0.64</v>
      </c>
      <c r="I174" s="8">
        <v>0.41</v>
      </c>
      <c r="J174" s="8">
        <v>0.34</v>
      </c>
      <c r="K174" s="2" t="str">
        <f t="shared" si="8"/>
        <v>Actual</v>
      </c>
      <c r="L174" s="1">
        <f t="shared" si="9"/>
        <v>12.0588235294118</v>
      </c>
      <c r="M174" s="1">
        <f t="shared" si="10"/>
        <v>10</v>
      </c>
      <c r="N174" s="1" t="str">
        <f t="shared" si="11"/>
        <v>Fabless</v>
      </c>
    </row>
    <row r="175" spans="1:14">
      <c r="A175" s="8">
        <v>2013</v>
      </c>
      <c r="B175" s="8" t="s">
        <v>136</v>
      </c>
      <c r="C175" s="8" t="s">
        <v>137</v>
      </c>
      <c r="D175" s="8" t="s">
        <v>121</v>
      </c>
      <c r="E175" s="8" t="s">
        <v>138</v>
      </c>
      <c r="F175" s="8">
        <v>3.01</v>
      </c>
      <c r="G175" s="8">
        <v>26.8</v>
      </c>
      <c r="H175" s="8">
        <v>0.8</v>
      </c>
      <c r="I175" s="8">
        <v>0.36</v>
      </c>
      <c r="J175" s="8">
        <v>0.3</v>
      </c>
      <c r="K175" s="2" t="str">
        <f t="shared" si="8"/>
        <v>Actual</v>
      </c>
      <c r="L175" s="1">
        <f t="shared" si="9"/>
        <v>11.960132890365401</v>
      </c>
      <c r="M175" s="1">
        <f t="shared" si="10"/>
        <v>9.9667774086378706</v>
      </c>
      <c r="N175" s="1" t="str">
        <f t="shared" si="11"/>
        <v>Fabless</v>
      </c>
    </row>
    <row r="176" spans="1:14">
      <c r="A176" s="8">
        <v>2014</v>
      </c>
      <c r="B176" s="8" t="s">
        <v>136</v>
      </c>
      <c r="C176" s="8" t="s">
        <v>137</v>
      </c>
      <c r="D176" s="8" t="s">
        <v>121</v>
      </c>
      <c r="E176" s="8" t="s">
        <v>138</v>
      </c>
      <c r="F176" s="8">
        <v>2.75</v>
      </c>
      <c r="G176" s="8">
        <v>29.4</v>
      </c>
      <c r="H176" s="8">
        <v>0.81</v>
      </c>
      <c r="I176" s="8">
        <v>0.33</v>
      </c>
      <c r="J176" s="8">
        <v>0.27</v>
      </c>
      <c r="K176" s="2" t="str">
        <f t="shared" si="8"/>
        <v>Actual</v>
      </c>
      <c r="L176" s="1">
        <f t="shared" si="9"/>
        <v>12</v>
      </c>
      <c r="M176" s="1">
        <f t="shared" si="10"/>
        <v>9.8181818181818201</v>
      </c>
      <c r="N176" s="1" t="str">
        <f t="shared" si="11"/>
        <v>Fabless</v>
      </c>
    </row>
    <row r="177" spans="1:14">
      <c r="A177" s="8">
        <v>2015</v>
      </c>
      <c r="B177" s="8" t="s">
        <v>136</v>
      </c>
      <c r="C177" s="8" t="s">
        <v>137</v>
      </c>
      <c r="D177" s="8" t="s">
        <v>121</v>
      </c>
      <c r="E177" s="8" t="s">
        <v>138</v>
      </c>
      <c r="F177" s="8">
        <v>2.73</v>
      </c>
      <c r="G177" s="8">
        <v>27.5</v>
      </c>
      <c r="H177" s="8">
        <v>0.75</v>
      </c>
      <c r="I177" s="8">
        <v>0.33</v>
      </c>
      <c r="J177" s="8">
        <v>0.27</v>
      </c>
      <c r="K177" s="2" t="str">
        <f t="shared" si="8"/>
        <v>Actual</v>
      </c>
      <c r="L177" s="1">
        <f t="shared" si="9"/>
        <v>12.0879120879121</v>
      </c>
      <c r="M177" s="1">
        <f t="shared" si="10"/>
        <v>9.8901098901098905</v>
      </c>
      <c r="N177" s="1" t="str">
        <f t="shared" si="11"/>
        <v>Fabless</v>
      </c>
    </row>
    <row r="178" spans="1:14">
      <c r="A178" s="8">
        <v>2016</v>
      </c>
      <c r="B178" s="8" t="s">
        <v>136</v>
      </c>
      <c r="C178" s="8" t="s">
        <v>137</v>
      </c>
      <c r="D178" s="8" t="s">
        <v>121</v>
      </c>
      <c r="E178" s="8" t="s">
        <v>138</v>
      </c>
      <c r="F178" s="8">
        <v>2.56</v>
      </c>
      <c r="G178" s="8">
        <v>27.4</v>
      </c>
      <c r="H178" s="8">
        <v>0.7</v>
      </c>
      <c r="I178" s="8">
        <v>0.31</v>
      </c>
      <c r="J178" s="8">
        <v>0.26</v>
      </c>
      <c r="K178" s="2" t="str">
        <f t="shared" si="8"/>
        <v>Actual</v>
      </c>
      <c r="L178" s="1">
        <f t="shared" si="9"/>
        <v>12.109375</v>
      </c>
      <c r="M178" s="1">
        <f t="shared" si="10"/>
        <v>10.15625</v>
      </c>
      <c r="N178" s="1" t="str">
        <f t="shared" si="11"/>
        <v>Fabless</v>
      </c>
    </row>
    <row r="179" spans="1:14">
      <c r="A179" s="8">
        <v>2017</v>
      </c>
      <c r="B179" s="8" t="s">
        <v>136</v>
      </c>
      <c r="C179" s="8" t="s">
        <v>137</v>
      </c>
      <c r="D179" s="8" t="s">
        <v>121</v>
      </c>
      <c r="E179" s="8" t="s">
        <v>138</v>
      </c>
      <c r="F179" s="8">
        <v>2.58</v>
      </c>
      <c r="G179" s="8">
        <v>25.7</v>
      </c>
      <c r="H179" s="8">
        <v>0.66</v>
      </c>
      <c r="I179" s="8">
        <v>0.31</v>
      </c>
      <c r="J179" s="8">
        <v>0.26</v>
      </c>
      <c r="K179" s="2" t="str">
        <f t="shared" si="8"/>
        <v>Actual</v>
      </c>
      <c r="L179" s="1">
        <f t="shared" si="9"/>
        <v>12.015503875968999</v>
      </c>
      <c r="M179" s="1">
        <f t="shared" si="10"/>
        <v>10.077519379845</v>
      </c>
      <c r="N179" s="1" t="str">
        <f t="shared" si="11"/>
        <v>Fabless</v>
      </c>
    </row>
    <row r="180" spans="1:14">
      <c r="A180" s="8">
        <v>2018</v>
      </c>
      <c r="B180" s="8" t="s">
        <v>136</v>
      </c>
      <c r="C180" s="8" t="s">
        <v>137</v>
      </c>
      <c r="D180" s="8" t="s">
        <v>121</v>
      </c>
      <c r="E180" s="8" t="s">
        <v>138</v>
      </c>
      <c r="F180" s="8">
        <v>2.42</v>
      </c>
      <c r="G180" s="8">
        <v>25.8</v>
      </c>
      <c r="H180" s="8">
        <v>0.62</v>
      </c>
      <c r="I180" s="8">
        <v>0.28999999999999998</v>
      </c>
      <c r="J180" s="8">
        <v>0.24</v>
      </c>
      <c r="K180" s="2" t="str">
        <f t="shared" si="8"/>
        <v>Actual</v>
      </c>
      <c r="L180" s="1">
        <f t="shared" si="9"/>
        <v>11.9834710743802</v>
      </c>
      <c r="M180" s="1">
        <f t="shared" si="10"/>
        <v>9.9173553719008307</v>
      </c>
      <c r="N180" s="1" t="str">
        <f t="shared" si="11"/>
        <v>Fabless</v>
      </c>
    </row>
    <row r="181" spans="1:14">
      <c r="A181" s="8">
        <v>2019</v>
      </c>
      <c r="B181" s="8" t="s">
        <v>136</v>
      </c>
      <c r="C181" s="8" t="s">
        <v>137</v>
      </c>
      <c r="D181" s="8" t="s">
        <v>121</v>
      </c>
      <c r="E181" s="8" t="s">
        <v>138</v>
      </c>
      <c r="F181" s="8">
        <v>2.63</v>
      </c>
      <c r="G181" s="8">
        <v>24.6</v>
      </c>
      <c r="H181" s="8">
        <v>0.65</v>
      </c>
      <c r="I181" s="8">
        <v>0.32</v>
      </c>
      <c r="J181" s="8">
        <v>0.26</v>
      </c>
      <c r="K181" s="2" t="str">
        <f t="shared" si="8"/>
        <v>Actual</v>
      </c>
      <c r="L181" s="1">
        <f t="shared" si="9"/>
        <v>12.167300380228101</v>
      </c>
      <c r="M181" s="1">
        <f t="shared" si="10"/>
        <v>9.8859315589353596</v>
      </c>
      <c r="N181" s="1" t="str">
        <f t="shared" si="11"/>
        <v>Fabless</v>
      </c>
    </row>
    <row r="182" spans="1:14">
      <c r="A182" s="8">
        <v>2020</v>
      </c>
      <c r="B182" s="8" t="s">
        <v>136</v>
      </c>
      <c r="C182" s="8" t="s">
        <v>137</v>
      </c>
      <c r="D182" s="8" t="s">
        <v>121</v>
      </c>
      <c r="E182" s="8" t="s">
        <v>138</v>
      </c>
      <c r="F182" s="8">
        <v>2.99</v>
      </c>
      <c r="G182" s="8">
        <v>26.2</v>
      </c>
      <c r="H182" s="8">
        <v>0.78</v>
      </c>
      <c r="I182" s="8">
        <v>0.36</v>
      </c>
      <c r="J182" s="8">
        <v>0.3</v>
      </c>
      <c r="K182" s="2" t="str">
        <f t="shared" si="8"/>
        <v>Actual</v>
      </c>
      <c r="L182" s="1">
        <f t="shared" si="9"/>
        <v>12.040133779264201</v>
      </c>
      <c r="M182" s="1">
        <f t="shared" si="10"/>
        <v>10.0334448160535</v>
      </c>
      <c r="N182" s="1" t="str">
        <f t="shared" si="11"/>
        <v>Fabless</v>
      </c>
    </row>
    <row r="183" spans="1:14">
      <c r="A183" s="8">
        <v>2021</v>
      </c>
      <c r="B183" s="8" t="s">
        <v>136</v>
      </c>
      <c r="C183" s="8" t="s">
        <v>137</v>
      </c>
      <c r="D183" s="8" t="s">
        <v>121</v>
      </c>
      <c r="E183" s="8" t="s">
        <v>138</v>
      </c>
      <c r="F183" s="8">
        <v>4.59</v>
      </c>
      <c r="G183" s="8">
        <v>21.8</v>
      </c>
      <c r="H183" s="8">
        <v>1</v>
      </c>
      <c r="I183" s="8">
        <v>0.55000000000000004</v>
      </c>
      <c r="J183" s="8">
        <v>0.46</v>
      </c>
      <c r="K183" s="2" t="str">
        <f t="shared" si="8"/>
        <v>Actual</v>
      </c>
      <c r="L183" s="1">
        <f t="shared" si="9"/>
        <v>11.982570806100201</v>
      </c>
      <c r="M183" s="1">
        <f t="shared" si="10"/>
        <v>10.0217864923747</v>
      </c>
      <c r="N183" s="1" t="str">
        <f t="shared" si="11"/>
        <v>Fabless</v>
      </c>
    </row>
    <row r="184" spans="1:14">
      <c r="A184" s="8">
        <v>2022</v>
      </c>
      <c r="B184" s="8" t="s">
        <v>136</v>
      </c>
      <c r="C184" s="8" t="s">
        <v>137</v>
      </c>
      <c r="D184" s="8" t="s">
        <v>121</v>
      </c>
      <c r="E184" s="8" t="s">
        <v>138</v>
      </c>
      <c r="F184" s="8">
        <v>5.88</v>
      </c>
      <c r="G184" s="8">
        <v>29.4</v>
      </c>
      <c r="H184" s="8">
        <v>1.73</v>
      </c>
      <c r="I184" s="8">
        <v>0.71</v>
      </c>
      <c r="J184" s="8">
        <v>0.59</v>
      </c>
      <c r="K184" s="2" t="str">
        <f t="shared" si="8"/>
        <v>Actual</v>
      </c>
      <c r="L184" s="1">
        <f t="shared" si="9"/>
        <v>12.074829931972801</v>
      </c>
      <c r="M184" s="1">
        <f t="shared" si="10"/>
        <v>10.034013605442199</v>
      </c>
      <c r="N184" s="1" t="str">
        <f t="shared" si="11"/>
        <v>Fabless</v>
      </c>
    </row>
    <row r="185" spans="1:14">
      <c r="A185" s="8">
        <v>2023</v>
      </c>
      <c r="B185" s="8" t="s">
        <v>136</v>
      </c>
      <c r="C185" s="8" t="s">
        <v>137</v>
      </c>
      <c r="D185" s="8" t="s">
        <v>121</v>
      </c>
      <c r="E185" s="8" t="s">
        <v>138</v>
      </c>
      <c r="F185" s="8">
        <v>5.38</v>
      </c>
      <c r="G185" s="8">
        <v>22.5</v>
      </c>
      <c r="H185" s="8">
        <v>1.21</v>
      </c>
      <c r="I185" s="8">
        <v>0.65</v>
      </c>
      <c r="J185" s="8">
        <v>0.54</v>
      </c>
      <c r="K185" s="2" t="str">
        <f t="shared" si="8"/>
        <v>Actual</v>
      </c>
      <c r="L185" s="1">
        <f t="shared" si="9"/>
        <v>12.0817843866171</v>
      </c>
      <c r="M185" s="1">
        <f t="shared" si="10"/>
        <v>10.037174721189601</v>
      </c>
      <c r="N185" s="1" t="str">
        <f t="shared" si="11"/>
        <v>Fabless</v>
      </c>
    </row>
    <row r="186" spans="1:14">
      <c r="A186" s="8">
        <v>2024</v>
      </c>
      <c r="B186" s="8" t="s">
        <v>136</v>
      </c>
      <c r="C186" s="8" t="s">
        <v>137</v>
      </c>
      <c r="D186" s="8" t="s">
        <v>121</v>
      </c>
      <c r="E186" s="8" t="s">
        <v>138</v>
      </c>
      <c r="F186" s="8">
        <v>5.84</v>
      </c>
      <c r="G186" s="8">
        <v>27.5</v>
      </c>
      <c r="H186" s="8">
        <v>1.61</v>
      </c>
      <c r="I186" s="8">
        <v>0.7</v>
      </c>
      <c r="J186" s="8">
        <v>0.57999999999999996</v>
      </c>
      <c r="K186" s="2" t="str">
        <f t="shared" si="8"/>
        <v>Actual</v>
      </c>
      <c r="L186" s="1">
        <f t="shared" si="9"/>
        <v>11.986301369863</v>
      </c>
      <c r="M186" s="1">
        <f t="shared" si="10"/>
        <v>9.9315068493150704</v>
      </c>
      <c r="N186" s="1" t="str">
        <f t="shared" si="11"/>
        <v>Fabless</v>
      </c>
    </row>
    <row r="187" spans="1:14">
      <c r="A187" s="8">
        <v>2025</v>
      </c>
      <c r="B187" s="8" t="s">
        <v>136</v>
      </c>
      <c r="C187" s="8" t="s">
        <v>137</v>
      </c>
      <c r="D187" s="8" t="s">
        <v>121</v>
      </c>
      <c r="E187" s="8" t="s">
        <v>138</v>
      </c>
      <c r="F187" s="8">
        <v>7.15</v>
      </c>
      <c r="G187" s="8">
        <v>29</v>
      </c>
      <c r="H187" s="8">
        <v>2.0699999999999998</v>
      </c>
      <c r="I187" s="8">
        <v>0.86</v>
      </c>
      <c r="J187" s="8">
        <v>0.72</v>
      </c>
      <c r="K187" s="2" t="str">
        <f t="shared" si="8"/>
        <v>Forecast</v>
      </c>
      <c r="L187" s="1">
        <f t="shared" si="9"/>
        <v>12.027972027972</v>
      </c>
      <c r="M187" s="1">
        <f t="shared" si="10"/>
        <v>10.0699300699301</v>
      </c>
      <c r="N187" s="1" t="str">
        <f t="shared" si="11"/>
        <v>Fabless</v>
      </c>
    </row>
    <row r="188" spans="1:14">
      <c r="A188" s="8">
        <v>2026</v>
      </c>
      <c r="B188" s="8" t="s">
        <v>136</v>
      </c>
      <c r="C188" s="8" t="s">
        <v>137</v>
      </c>
      <c r="D188" s="8" t="s">
        <v>121</v>
      </c>
      <c r="E188" s="8" t="s">
        <v>138</v>
      </c>
      <c r="F188" s="8">
        <v>8.7200000000000006</v>
      </c>
      <c r="G188" s="8">
        <v>27.5</v>
      </c>
      <c r="H188" s="8">
        <v>2.4</v>
      </c>
      <c r="I188" s="8">
        <v>1.05</v>
      </c>
      <c r="J188" s="8">
        <v>0.87</v>
      </c>
      <c r="K188" s="2" t="str">
        <f t="shared" si="8"/>
        <v>Forecast</v>
      </c>
      <c r="L188" s="1">
        <f t="shared" si="9"/>
        <v>12.0412844036697</v>
      </c>
      <c r="M188" s="1">
        <f t="shared" si="10"/>
        <v>9.9770642201834896</v>
      </c>
      <c r="N188" s="1" t="str">
        <f t="shared" si="11"/>
        <v>Fabless</v>
      </c>
    </row>
    <row r="189" spans="1:14">
      <c r="A189" s="8">
        <v>2010</v>
      </c>
      <c r="B189" s="8" t="s">
        <v>139</v>
      </c>
      <c r="C189" s="8" t="s">
        <v>140</v>
      </c>
      <c r="D189" s="8" t="s">
        <v>121</v>
      </c>
      <c r="E189" s="8" t="s">
        <v>141</v>
      </c>
      <c r="F189" s="8">
        <v>44.33</v>
      </c>
      <c r="G189" s="8">
        <v>27</v>
      </c>
      <c r="H189" s="8">
        <v>11.96</v>
      </c>
      <c r="I189" s="8">
        <v>8.8699999999999992</v>
      </c>
      <c r="J189" s="8">
        <v>11.08</v>
      </c>
      <c r="K189" s="2" t="str">
        <f t="shared" si="8"/>
        <v>Actual</v>
      </c>
      <c r="L189" s="1">
        <f t="shared" si="9"/>
        <v>20.009023234829701</v>
      </c>
      <c r="M189" s="1">
        <f t="shared" si="10"/>
        <v>24.9943604782314</v>
      </c>
      <c r="N189" s="1" t="str">
        <f t="shared" si="11"/>
        <v>Manufacturer</v>
      </c>
    </row>
    <row r="190" spans="1:14">
      <c r="A190" s="8">
        <v>2011</v>
      </c>
      <c r="B190" s="8" t="s">
        <v>139</v>
      </c>
      <c r="C190" s="8" t="s">
        <v>140</v>
      </c>
      <c r="D190" s="8" t="s">
        <v>121</v>
      </c>
      <c r="E190" s="8" t="s">
        <v>141</v>
      </c>
      <c r="F190" s="8">
        <v>45.66</v>
      </c>
      <c r="G190" s="8">
        <v>14</v>
      </c>
      <c r="H190" s="8">
        <v>6.39</v>
      </c>
      <c r="I190" s="8">
        <v>9.1300000000000008</v>
      </c>
      <c r="J190" s="8">
        <v>11.41</v>
      </c>
      <c r="K190" s="2" t="str">
        <f t="shared" si="8"/>
        <v>Actual</v>
      </c>
      <c r="L190" s="1">
        <f t="shared" si="9"/>
        <v>19.995619798510699</v>
      </c>
      <c r="M190" s="1">
        <f t="shared" si="10"/>
        <v>24.989049496276799</v>
      </c>
      <c r="N190" s="1" t="str">
        <f t="shared" si="11"/>
        <v>Manufacturer</v>
      </c>
    </row>
    <row r="191" spans="1:14">
      <c r="A191" s="8">
        <v>2012</v>
      </c>
      <c r="B191" s="8" t="s">
        <v>139</v>
      </c>
      <c r="C191" s="8" t="s">
        <v>140</v>
      </c>
      <c r="D191" s="8" t="s">
        <v>121</v>
      </c>
      <c r="E191" s="8" t="s">
        <v>141</v>
      </c>
      <c r="F191" s="8">
        <v>50.66</v>
      </c>
      <c r="G191" s="8">
        <v>18.600000000000001</v>
      </c>
      <c r="H191" s="8">
        <v>9.44</v>
      </c>
      <c r="I191" s="8">
        <v>10.130000000000001</v>
      </c>
      <c r="J191" s="8">
        <v>12.67</v>
      </c>
      <c r="K191" s="2" t="str">
        <f t="shared" si="8"/>
        <v>Actual</v>
      </c>
      <c r="L191" s="1">
        <f t="shared" si="9"/>
        <v>19.996052112120001</v>
      </c>
      <c r="M191" s="1">
        <f t="shared" si="10"/>
        <v>25.009869719699999</v>
      </c>
      <c r="N191" s="1" t="str">
        <f t="shared" si="11"/>
        <v>Manufacturer</v>
      </c>
    </row>
    <row r="192" spans="1:14">
      <c r="A192" s="8">
        <v>2013</v>
      </c>
      <c r="B192" s="8" t="s">
        <v>139</v>
      </c>
      <c r="C192" s="8" t="s">
        <v>140</v>
      </c>
      <c r="D192" s="8" t="s">
        <v>121</v>
      </c>
      <c r="E192" s="8" t="s">
        <v>141</v>
      </c>
      <c r="F192" s="8">
        <v>50.78</v>
      </c>
      <c r="G192" s="8">
        <v>23.9</v>
      </c>
      <c r="H192" s="8">
        <v>12.15</v>
      </c>
      <c r="I192" s="8">
        <v>10.16</v>
      </c>
      <c r="J192" s="8">
        <v>12.7</v>
      </c>
      <c r="K192" s="2" t="str">
        <f t="shared" si="8"/>
        <v>Actual</v>
      </c>
      <c r="L192" s="1">
        <f t="shared" si="9"/>
        <v>20.007877116975202</v>
      </c>
      <c r="M192" s="1">
        <f t="shared" si="10"/>
        <v>25.009846396219</v>
      </c>
      <c r="N192" s="1" t="str">
        <f t="shared" si="11"/>
        <v>Manufacturer</v>
      </c>
    </row>
    <row r="193" spans="1:14">
      <c r="A193" s="8">
        <v>2014</v>
      </c>
      <c r="B193" s="8" t="s">
        <v>139</v>
      </c>
      <c r="C193" s="8" t="s">
        <v>140</v>
      </c>
      <c r="D193" s="8" t="s">
        <v>121</v>
      </c>
      <c r="E193" s="8" t="s">
        <v>141</v>
      </c>
      <c r="F193" s="8">
        <v>50.47</v>
      </c>
      <c r="G193" s="8">
        <v>16.2</v>
      </c>
      <c r="H193" s="8">
        <v>8.1999999999999993</v>
      </c>
      <c r="I193" s="8">
        <v>10.09</v>
      </c>
      <c r="J193" s="8">
        <v>12.62</v>
      </c>
      <c r="K193" s="2" t="str">
        <f t="shared" si="8"/>
        <v>Actual</v>
      </c>
      <c r="L193" s="1">
        <f t="shared" si="9"/>
        <v>19.992074499702799</v>
      </c>
      <c r="M193" s="1">
        <f t="shared" si="10"/>
        <v>25.0049534376857</v>
      </c>
      <c r="N193" s="1" t="str">
        <f t="shared" si="11"/>
        <v>Manufacturer</v>
      </c>
    </row>
    <row r="194" spans="1:14">
      <c r="A194" s="8">
        <v>2015</v>
      </c>
      <c r="B194" s="8" t="s">
        <v>139</v>
      </c>
      <c r="C194" s="8" t="s">
        <v>140</v>
      </c>
      <c r="D194" s="8" t="s">
        <v>121</v>
      </c>
      <c r="E194" s="8" t="s">
        <v>141</v>
      </c>
      <c r="F194" s="8">
        <v>52.71</v>
      </c>
      <c r="G194" s="8">
        <v>17.600000000000001</v>
      </c>
      <c r="H194" s="8">
        <v>9.2899999999999991</v>
      </c>
      <c r="I194" s="8">
        <v>10.54</v>
      </c>
      <c r="J194" s="8">
        <v>13.18</v>
      </c>
      <c r="K194" s="2" t="str">
        <f t="shared" si="8"/>
        <v>Actual</v>
      </c>
      <c r="L194" s="1">
        <f t="shared" si="9"/>
        <v>19.996205653576201</v>
      </c>
      <c r="M194" s="1">
        <f t="shared" si="10"/>
        <v>25.004742933029799</v>
      </c>
      <c r="N194" s="1" t="str">
        <f t="shared" si="11"/>
        <v>Manufacturer</v>
      </c>
    </row>
    <row r="195" spans="1:14">
      <c r="A195" s="8">
        <v>2016</v>
      </c>
      <c r="B195" s="8" t="s">
        <v>139</v>
      </c>
      <c r="C195" s="8" t="s">
        <v>140</v>
      </c>
      <c r="D195" s="8" t="s">
        <v>121</v>
      </c>
      <c r="E195" s="8" t="s">
        <v>141</v>
      </c>
      <c r="F195" s="8">
        <v>61.27</v>
      </c>
      <c r="G195" s="8">
        <v>21.6</v>
      </c>
      <c r="H195" s="8">
        <v>13.22</v>
      </c>
      <c r="I195" s="8">
        <v>12.25</v>
      </c>
      <c r="J195" s="8">
        <v>15.32</v>
      </c>
      <c r="K195" s="2" t="str">
        <f t="shared" ref="K195:K258" si="12">IF(A195&gt;=2025,"Forecast","Actual")</f>
        <v>Actual</v>
      </c>
      <c r="L195" s="1">
        <f t="shared" ref="L195:L258" si="13">IF(F195=0,0,I195/F195*100)</f>
        <v>19.9934715195038</v>
      </c>
      <c r="M195" s="1">
        <f t="shared" ref="M195:M258" si="14">IF(F195=0,0,J195/F195*100)</f>
        <v>25.0040803003101</v>
      </c>
      <c r="N195" s="1" t="str">
        <f t="shared" ref="N195:N258" si="15">IF(LEFT(E195,7)="fabless","Fabless",IF(LEFT(E195,9)="equipment","Equipment",IF(E195="foundry","Manufacturer",IF(LEFT(E195,3)="idm","Manufacturer",IF(E195="eda_software","EDA Software","Other")))))</f>
        <v>Manufacturer</v>
      </c>
    </row>
    <row r="196" spans="1:14">
      <c r="A196" s="8">
        <v>2017</v>
      </c>
      <c r="B196" s="8" t="s">
        <v>139</v>
      </c>
      <c r="C196" s="8" t="s">
        <v>140</v>
      </c>
      <c r="D196" s="8" t="s">
        <v>121</v>
      </c>
      <c r="E196" s="8" t="s">
        <v>141</v>
      </c>
      <c r="F196" s="8">
        <v>66.180000000000007</v>
      </c>
      <c r="G196" s="8">
        <v>15.8</v>
      </c>
      <c r="H196" s="8">
        <v>10.43</v>
      </c>
      <c r="I196" s="8">
        <v>13.24</v>
      </c>
      <c r="J196" s="8">
        <v>16.54</v>
      </c>
      <c r="K196" s="2" t="str">
        <f t="shared" si="12"/>
        <v>Actual</v>
      </c>
      <c r="L196" s="1">
        <f t="shared" si="13"/>
        <v>20.0060441220913</v>
      </c>
      <c r="M196" s="1">
        <f t="shared" si="14"/>
        <v>24.992444847385901</v>
      </c>
      <c r="N196" s="1" t="str">
        <f t="shared" si="15"/>
        <v>Manufacturer</v>
      </c>
    </row>
    <row r="197" spans="1:14">
      <c r="A197" s="8">
        <v>2018</v>
      </c>
      <c r="B197" s="8" t="s">
        <v>139</v>
      </c>
      <c r="C197" s="8" t="s">
        <v>140</v>
      </c>
      <c r="D197" s="8" t="s">
        <v>121</v>
      </c>
      <c r="E197" s="8" t="s">
        <v>141</v>
      </c>
      <c r="F197" s="8">
        <v>66.06</v>
      </c>
      <c r="G197" s="8">
        <v>20.2</v>
      </c>
      <c r="H197" s="8">
        <v>13.32</v>
      </c>
      <c r="I197" s="8">
        <v>13.21</v>
      </c>
      <c r="J197" s="8">
        <v>16.510000000000002</v>
      </c>
      <c r="K197" s="2" t="str">
        <f t="shared" si="12"/>
        <v>Actual</v>
      </c>
      <c r="L197" s="1">
        <f t="shared" si="13"/>
        <v>19.996972449288499</v>
      </c>
      <c r="M197" s="1">
        <f t="shared" si="14"/>
        <v>24.992431123221301</v>
      </c>
      <c r="N197" s="1" t="str">
        <f t="shared" si="15"/>
        <v>Manufacturer</v>
      </c>
    </row>
    <row r="198" spans="1:14">
      <c r="A198" s="8">
        <v>2019</v>
      </c>
      <c r="B198" s="8" t="s">
        <v>139</v>
      </c>
      <c r="C198" s="8" t="s">
        <v>140</v>
      </c>
      <c r="D198" s="8" t="s">
        <v>121</v>
      </c>
      <c r="E198" s="8" t="s">
        <v>141</v>
      </c>
      <c r="F198" s="8">
        <v>73.31</v>
      </c>
      <c r="G198" s="8">
        <v>21.4</v>
      </c>
      <c r="H198" s="8">
        <v>15.67</v>
      </c>
      <c r="I198" s="8">
        <v>14.66</v>
      </c>
      <c r="J198" s="8">
        <v>18.329999999999998</v>
      </c>
      <c r="K198" s="2" t="str">
        <f t="shared" si="12"/>
        <v>Actual</v>
      </c>
      <c r="L198" s="1">
        <f t="shared" si="13"/>
        <v>19.997271859227901</v>
      </c>
      <c r="M198" s="1">
        <f t="shared" si="14"/>
        <v>25.003410175965101</v>
      </c>
      <c r="N198" s="1" t="str">
        <f t="shared" si="15"/>
        <v>Manufacturer</v>
      </c>
    </row>
    <row r="199" spans="1:14">
      <c r="A199" s="8">
        <v>2020</v>
      </c>
      <c r="B199" s="8" t="s">
        <v>139</v>
      </c>
      <c r="C199" s="8" t="s">
        <v>140</v>
      </c>
      <c r="D199" s="8" t="s">
        <v>121</v>
      </c>
      <c r="E199" s="8" t="s">
        <v>141</v>
      </c>
      <c r="F199" s="8">
        <v>79.56</v>
      </c>
      <c r="G199" s="8">
        <v>20.399999999999999</v>
      </c>
      <c r="H199" s="8">
        <v>16.239999999999998</v>
      </c>
      <c r="I199" s="8">
        <v>15.91</v>
      </c>
      <c r="J199" s="8">
        <v>19.89</v>
      </c>
      <c r="K199" s="2" t="str">
        <f t="shared" si="12"/>
        <v>Actual</v>
      </c>
      <c r="L199" s="1">
        <f t="shared" si="13"/>
        <v>19.997486173956801</v>
      </c>
      <c r="M199" s="1">
        <f t="shared" si="14"/>
        <v>25</v>
      </c>
      <c r="N199" s="1" t="str">
        <f t="shared" si="15"/>
        <v>Manufacturer</v>
      </c>
    </row>
    <row r="200" spans="1:14">
      <c r="A200" s="8">
        <v>2021</v>
      </c>
      <c r="B200" s="8" t="s">
        <v>139</v>
      </c>
      <c r="C200" s="8" t="s">
        <v>140</v>
      </c>
      <c r="D200" s="8" t="s">
        <v>121</v>
      </c>
      <c r="E200" s="8" t="s">
        <v>141</v>
      </c>
      <c r="F200" s="8">
        <v>72.13</v>
      </c>
      <c r="G200" s="8">
        <v>20.7</v>
      </c>
      <c r="H200" s="8">
        <v>14.92</v>
      </c>
      <c r="I200" s="8">
        <v>14.43</v>
      </c>
      <c r="J200" s="8">
        <v>18.03</v>
      </c>
      <c r="K200" s="2" t="str">
        <f t="shared" si="12"/>
        <v>Actual</v>
      </c>
      <c r="L200" s="1">
        <f t="shared" si="13"/>
        <v>20.005545542770001</v>
      </c>
      <c r="M200" s="1">
        <f t="shared" si="14"/>
        <v>24.9965340357688</v>
      </c>
      <c r="N200" s="1" t="str">
        <f t="shared" si="15"/>
        <v>Manufacturer</v>
      </c>
    </row>
    <row r="201" spans="1:14">
      <c r="A201" s="8">
        <v>2022</v>
      </c>
      <c r="B201" s="8" t="s">
        <v>139</v>
      </c>
      <c r="C201" s="8" t="s">
        <v>140</v>
      </c>
      <c r="D201" s="8" t="s">
        <v>121</v>
      </c>
      <c r="E201" s="8" t="s">
        <v>141</v>
      </c>
      <c r="F201" s="8">
        <v>64.11</v>
      </c>
      <c r="G201" s="8">
        <v>7.9</v>
      </c>
      <c r="H201" s="8">
        <v>5.0599999999999996</v>
      </c>
      <c r="I201" s="8">
        <v>12.82</v>
      </c>
      <c r="J201" s="8">
        <v>16.03</v>
      </c>
      <c r="K201" s="2" t="str">
        <f t="shared" si="12"/>
        <v>Actual</v>
      </c>
      <c r="L201" s="1">
        <f t="shared" si="13"/>
        <v>19.996880361877999</v>
      </c>
      <c r="M201" s="1">
        <f t="shared" si="14"/>
        <v>25.003899547652502</v>
      </c>
      <c r="N201" s="1" t="str">
        <f t="shared" si="15"/>
        <v>Manufacturer</v>
      </c>
    </row>
    <row r="202" spans="1:14">
      <c r="A202" s="8">
        <v>2023</v>
      </c>
      <c r="B202" s="8" t="s">
        <v>139</v>
      </c>
      <c r="C202" s="8" t="s">
        <v>140</v>
      </c>
      <c r="D202" s="8" t="s">
        <v>121</v>
      </c>
      <c r="E202" s="8" t="s">
        <v>141</v>
      </c>
      <c r="F202" s="8">
        <v>53.91</v>
      </c>
      <c r="G202" s="8">
        <v>10.6</v>
      </c>
      <c r="H202" s="8">
        <v>5.71</v>
      </c>
      <c r="I202" s="8">
        <v>10.78</v>
      </c>
      <c r="J202" s="8">
        <v>13.48</v>
      </c>
      <c r="K202" s="2" t="str">
        <f t="shared" si="12"/>
        <v>Actual</v>
      </c>
      <c r="L202" s="1">
        <f t="shared" si="13"/>
        <v>19.996290113151499</v>
      </c>
      <c r="M202" s="1">
        <f t="shared" si="14"/>
        <v>25.004637358560601</v>
      </c>
      <c r="N202" s="1" t="str">
        <f t="shared" si="15"/>
        <v>Manufacturer</v>
      </c>
    </row>
    <row r="203" spans="1:14">
      <c r="A203" s="8">
        <v>2024</v>
      </c>
      <c r="B203" s="8" t="s">
        <v>139</v>
      </c>
      <c r="C203" s="8" t="s">
        <v>140</v>
      </c>
      <c r="D203" s="8" t="s">
        <v>121</v>
      </c>
      <c r="E203" s="8" t="s">
        <v>141</v>
      </c>
      <c r="F203" s="8">
        <v>54.42</v>
      </c>
      <c r="G203" s="8">
        <v>8.8000000000000007</v>
      </c>
      <c r="H203" s="8">
        <v>4.8</v>
      </c>
      <c r="I203" s="8">
        <v>10.88</v>
      </c>
      <c r="J203" s="8">
        <v>13.61</v>
      </c>
      <c r="K203" s="2" t="str">
        <f t="shared" si="12"/>
        <v>Actual</v>
      </c>
      <c r="L203" s="1">
        <f t="shared" si="13"/>
        <v>19.9926497611172</v>
      </c>
      <c r="M203" s="1">
        <f t="shared" si="14"/>
        <v>25.009187798603499</v>
      </c>
      <c r="N203" s="1" t="str">
        <f t="shared" si="15"/>
        <v>Manufacturer</v>
      </c>
    </row>
    <row r="204" spans="1:14">
      <c r="A204" s="8">
        <v>2025</v>
      </c>
      <c r="B204" s="8" t="s">
        <v>139</v>
      </c>
      <c r="C204" s="8" t="s">
        <v>140</v>
      </c>
      <c r="D204" s="8" t="s">
        <v>121</v>
      </c>
      <c r="E204" s="8" t="s">
        <v>141</v>
      </c>
      <c r="F204" s="8">
        <v>57.44</v>
      </c>
      <c r="G204" s="8">
        <v>9.1999999999999993</v>
      </c>
      <c r="H204" s="8">
        <v>5.29</v>
      </c>
      <c r="I204" s="8">
        <v>11.49</v>
      </c>
      <c r="J204" s="8">
        <v>14.36</v>
      </c>
      <c r="K204" s="2" t="str">
        <f t="shared" si="12"/>
        <v>Forecast</v>
      </c>
      <c r="L204" s="1">
        <f t="shared" si="13"/>
        <v>20.003481894150401</v>
      </c>
      <c r="M204" s="1">
        <f t="shared" si="14"/>
        <v>25</v>
      </c>
      <c r="N204" s="1" t="str">
        <f t="shared" si="15"/>
        <v>Manufacturer</v>
      </c>
    </row>
    <row r="205" spans="1:14">
      <c r="A205" s="8">
        <v>2026</v>
      </c>
      <c r="B205" s="8" t="s">
        <v>139</v>
      </c>
      <c r="C205" s="8" t="s">
        <v>140</v>
      </c>
      <c r="D205" s="8" t="s">
        <v>121</v>
      </c>
      <c r="E205" s="8" t="s">
        <v>141</v>
      </c>
      <c r="F205" s="8">
        <v>59.79</v>
      </c>
      <c r="G205" s="8">
        <v>12.5</v>
      </c>
      <c r="H205" s="8">
        <v>7.47</v>
      </c>
      <c r="I205" s="8">
        <v>11.96</v>
      </c>
      <c r="J205" s="8">
        <v>14.95</v>
      </c>
      <c r="K205" s="2" t="str">
        <f t="shared" si="12"/>
        <v>Forecast</v>
      </c>
      <c r="L205" s="1">
        <f t="shared" si="13"/>
        <v>20.0033450409768</v>
      </c>
      <c r="M205" s="1">
        <f t="shared" si="14"/>
        <v>25.0041813012209</v>
      </c>
      <c r="N205" s="1" t="str">
        <f t="shared" si="15"/>
        <v>Manufacturer</v>
      </c>
    </row>
    <row r="206" spans="1:14">
      <c r="A206" s="8">
        <v>2010</v>
      </c>
      <c r="B206" s="8" t="s">
        <v>142</v>
      </c>
      <c r="C206" s="25" t="s">
        <v>117</v>
      </c>
      <c r="D206" s="8" t="s">
        <v>118</v>
      </c>
      <c r="E206" s="8" t="s">
        <v>143</v>
      </c>
      <c r="F206" s="8">
        <v>31.08</v>
      </c>
      <c r="G206" s="8">
        <v>16.100000000000001</v>
      </c>
      <c r="H206" s="8">
        <v>5</v>
      </c>
      <c r="I206" s="8">
        <v>3.11</v>
      </c>
      <c r="J206" s="8">
        <v>10.88</v>
      </c>
      <c r="K206" s="2" t="str">
        <f t="shared" si="12"/>
        <v>Actual</v>
      </c>
      <c r="L206" s="1">
        <f t="shared" si="13"/>
        <v>10.006435006435</v>
      </c>
      <c r="M206" s="1">
        <f t="shared" si="14"/>
        <v>35.006435006434998</v>
      </c>
      <c r="N206" s="1" t="str">
        <f t="shared" si="15"/>
        <v>Manufacturer</v>
      </c>
    </row>
    <row r="207" spans="1:14">
      <c r="A207" s="8">
        <v>2011</v>
      </c>
      <c r="B207" s="8" t="s">
        <v>142</v>
      </c>
      <c r="C207" s="25" t="s">
        <v>117</v>
      </c>
      <c r="D207" s="8" t="s">
        <v>118</v>
      </c>
      <c r="E207" s="8" t="s">
        <v>143</v>
      </c>
      <c r="F207" s="8">
        <v>32.71</v>
      </c>
      <c r="G207" s="8">
        <v>7.9</v>
      </c>
      <c r="H207" s="8">
        <v>2.57</v>
      </c>
      <c r="I207" s="8">
        <v>3.27</v>
      </c>
      <c r="J207" s="8">
        <v>11.45</v>
      </c>
      <c r="K207" s="2" t="str">
        <f t="shared" si="12"/>
        <v>Actual</v>
      </c>
      <c r="L207" s="1">
        <f t="shared" si="13"/>
        <v>9.9969428309385506</v>
      </c>
      <c r="M207" s="1">
        <f t="shared" si="14"/>
        <v>35.004585753592202</v>
      </c>
      <c r="N207" s="1" t="str">
        <f t="shared" si="15"/>
        <v>Manufacturer</v>
      </c>
    </row>
    <row r="208" spans="1:14">
      <c r="A208" s="8">
        <v>2012</v>
      </c>
      <c r="B208" s="8" t="s">
        <v>142</v>
      </c>
      <c r="C208" s="25" t="s">
        <v>117</v>
      </c>
      <c r="D208" s="8" t="s">
        <v>118</v>
      </c>
      <c r="E208" s="8" t="s">
        <v>143</v>
      </c>
      <c r="F208" s="8">
        <v>34.69</v>
      </c>
      <c r="G208" s="8">
        <v>13.6</v>
      </c>
      <c r="H208" s="8">
        <v>4.72</v>
      </c>
      <c r="I208" s="8">
        <v>3.47</v>
      </c>
      <c r="J208" s="8">
        <v>12.14</v>
      </c>
      <c r="K208" s="2" t="str">
        <f t="shared" si="12"/>
        <v>Actual</v>
      </c>
      <c r="L208" s="1">
        <f t="shared" si="13"/>
        <v>10.0028826751225</v>
      </c>
      <c r="M208" s="1">
        <f t="shared" si="14"/>
        <v>34.995675987316197</v>
      </c>
      <c r="N208" s="1" t="str">
        <f t="shared" si="15"/>
        <v>Manufacturer</v>
      </c>
    </row>
    <row r="209" spans="1:14">
      <c r="A209" s="8">
        <v>2013</v>
      </c>
      <c r="B209" s="8" t="s">
        <v>142</v>
      </c>
      <c r="C209" s="25" t="s">
        <v>117</v>
      </c>
      <c r="D209" s="8" t="s">
        <v>118</v>
      </c>
      <c r="E209" s="8" t="s">
        <v>143</v>
      </c>
      <c r="F209" s="8">
        <v>36.29</v>
      </c>
      <c r="G209" s="8">
        <v>10.6</v>
      </c>
      <c r="H209" s="8">
        <v>3.85</v>
      </c>
      <c r="I209" s="8">
        <v>3.63</v>
      </c>
      <c r="J209" s="8">
        <v>12.7</v>
      </c>
      <c r="K209" s="2" t="str">
        <f t="shared" si="12"/>
        <v>Actual</v>
      </c>
      <c r="L209" s="1">
        <f t="shared" si="13"/>
        <v>10.0027555800496</v>
      </c>
      <c r="M209" s="1">
        <f t="shared" si="14"/>
        <v>34.995866629925601</v>
      </c>
      <c r="N209" s="1" t="str">
        <f t="shared" si="15"/>
        <v>Manufacturer</v>
      </c>
    </row>
    <row r="210" spans="1:14">
      <c r="A210" s="8">
        <v>2014</v>
      </c>
      <c r="B210" s="8" t="s">
        <v>142</v>
      </c>
      <c r="C210" s="25" t="s">
        <v>117</v>
      </c>
      <c r="D210" s="8" t="s">
        <v>118</v>
      </c>
      <c r="E210" s="8" t="s">
        <v>143</v>
      </c>
      <c r="F210" s="8">
        <v>39.06</v>
      </c>
      <c r="G210" s="8">
        <v>15</v>
      </c>
      <c r="H210" s="8">
        <v>5.86</v>
      </c>
      <c r="I210" s="8">
        <v>3.91</v>
      </c>
      <c r="J210" s="8">
        <v>13.67</v>
      </c>
      <c r="K210" s="2" t="str">
        <f t="shared" si="12"/>
        <v>Actual</v>
      </c>
      <c r="L210" s="1">
        <f t="shared" si="13"/>
        <v>10.010240655401899</v>
      </c>
      <c r="M210" s="1">
        <f t="shared" si="14"/>
        <v>34.997439836149503</v>
      </c>
      <c r="N210" s="1" t="str">
        <f t="shared" si="15"/>
        <v>Manufacturer</v>
      </c>
    </row>
    <row r="211" spans="1:14">
      <c r="A211" s="8">
        <v>2015</v>
      </c>
      <c r="B211" s="8" t="s">
        <v>142</v>
      </c>
      <c r="C211" s="25" t="s">
        <v>117</v>
      </c>
      <c r="D211" s="8" t="s">
        <v>118</v>
      </c>
      <c r="E211" s="8" t="s">
        <v>143</v>
      </c>
      <c r="F211" s="8">
        <v>38.92</v>
      </c>
      <c r="G211" s="8">
        <v>18.3</v>
      </c>
      <c r="H211" s="8">
        <v>7.12</v>
      </c>
      <c r="I211" s="8">
        <v>3.89</v>
      </c>
      <c r="J211" s="8">
        <v>13.62</v>
      </c>
      <c r="K211" s="2" t="str">
        <f t="shared" si="12"/>
        <v>Actual</v>
      </c>
      <c r="L211" s="1">
        <f t="shared" si="13"/>
        <v>9.9948612538540598</v>
      </c>
      <c r="M211" s="1">
        <f t="shared" si="14"/>
        <v>34.994861253854097</v>
      </c>
      <c r="N211" s="1" t="str">
        <f t="shared" si="15"/>
        <v>Manufacturer</v>
      </c>
    </row>
    <row r="212" spans="1:14">
      <c r="A212" s="8">
        <v>2016</v>
      </c>
      <c r="B212" s="8" t="s">
        <v>142</v>
      </c>
      <c r="C212" s="25" t="s">
        <v>117</v>
      </c>
      <c r="D212" s="8" t="s">
        <v>118</v>
      </c>
      <c r="E212" s="8" t="s">
        <v>143</v>
      </c>
      <c r="F212" s="8">
        <v>52.14</v>
      </c>
      <c r="G212" s="8">
        <v>16.600000000000001</v>
      </c>
      <c r="H212" s="8">
        <v>8.68</v>
      </c>
      <c r="I212" s="8">
        <v>5.21</v>
      </c>
      <c r="J212" s="8">
        <v>18.25</v>
      </c>
      <c r="K212" s="2" t="str">
        <f t="shared" si="12"/>
        <v>Actual</v>
      </c>
      <c r="L212" s="1">
        <f t="shared" si="13"/>
        <v>9.9923283467587307</v>
      </c>
      <c r="M212" s="1">
        <f t="shared" si="14"/>
        <v>35.001917913310301</v>
      </c>
      <c r="N212" s="1" t="str">
        <f t="shared" si="15"/>
        <v>Manufacturer</v>
      </c>
    </row>
    <row r="213" spans="1:14">
      <c r="A213" s="8">
        <v>2017</v>
      </c>
      <c r="B213" s="8" t="s">
        <v>142</v>
      </c>
      <c r="C213" s="25" t="s">
        <v>117</v>
      </c>
      <c r="D213" s="8" t="s">
        <v>118</v>
      </c>
      <c r="E213" s="8" t="s">
        <v>143</v>
      </c>
      <c r="F213" s="8">
        <v>63.85</v>
      </c>
      <c r="G213" s="8">
        <v>20.6</v>
      </c>
      <c r="H213" s="8">
        <v>13.13</v>
      </c>
      <c r="I213" s="8">
        <v>6.39</v>
      </c>
      <c r="J213" s="8">
        <v>22.35</v>
      </c>
      <c r="K213" s="2" t="str">
        <f t="shared" si="12"/>
        <v>Actual</v>
      </c>
      <c r="L213" s="1">
        <f t="shared" si="13"/>
        <v>10.007830853563</v>
      </c>
      <c r="M213" s="1">
        <f t="shared" si="14"/>
        <v>35.003915426781496</v>
      </c>
      <c r="N213" s="1" t="str">
        <f t="shared" si="15"/>
        <v>Manufacturer</v>
      </c>
    </row>
    <row r="214" spans="1:14">
      <c r="A214" s="8">
        <v>2018</v>
      </c>
      <c r="B214" s="8" t="s">
        <v>142</v>
      </c>
      <c r="C214" s="25" t="s">
        <v>117</v>
      </c>
      <c r="D214" s="8" t="s">
        <v>118</v>
      </c>
      <c r="E214" s="8" t="s">
        <v>143</v>
      </c>
      <c r="F214" s="8">
        <v>75.95</v>
      </c>
      <c r="G214" s="8">
        <v>29.8</v>
      </c>
      <c r="H214" s="8">
        <v>22.61</v>
      </c>
      <c r="I214" s="8">
        <v>7.59</v>
      </c>
      <c r="J214" s="8">
        <v>26.58</v>
      </c>
      <c r="K214" s="2" t="str">
        <f t="shared" si="12"/>
        <v>Actual</v>
      </c>
      <c r="L214" s="1">
        <f t="shared" si="13"/>
        <v>9.9934167215273195</v>
      </c>
      <c r="M214" s="1">
        <f t="shared" si="14"/>
        <v>34.996708360763698</v>
      </c>
      <c r="N214" s="1" t="str">
        <f t="shared" si="15"/>
        <v>Manufacturer</v>
      </c>
    </row>
    <row r="215" spans="1:14">
      <c r="A215" s="8">
        <v>2019</v>
      </c>
      <c r="B215" s="8" t="s">
        <v>142</v>
      </c>
      <c r="C215" s="25" t="s">
        <v>117</v>
      </c>
      <c r="D215" s="8" t="s">
        <v>118</v>
      </c>
      <c r="E215" s="8" t="s">
        <v>143</v>
      </c>
      <c r="F215" s="8">
        <v>74.27</v>
      </c>
      <c r="G215" s="8">
        <v>40.9</v>
      </c>
      <c r="H215" s="8">
        <v>30.39</v>
      </c>
      <c r="I215" s="8">
        <v>7.43</v>
      </c>
      <c r="J215" s="8">
        <v>25.99</v>
      </c>
      <c r="K215" s="2" t="str">
        <f t="shared" si="12"/>
        <v>Actual</v>
      </c>
      <c r="L215" s="1">
        <f t="shared" si="13"/>
        <v>10.0040393160092</v>
      </c>
      <c r="M215" s="1">
        <f t="shared" si="14"/>
        <v>34.993941025986302</v>
      </c>
      <c r="N215" s="1" t="str">
        <f t="shared" si="15"/>
        <v>Manufacturer</v>
      </c>
    </row>
    <row r="216" spans="1:14">
      <c r="A216" s="8">
        <v>2020</v>
      </c>
      <c r="B216" s="8" t="s">
        <v>142</v>
      </c>
      <c r="C216" s="25" t="s">
        <v>117</v>
      </c>
      <c r="D216" s="8" t="s">
        <v>118</v>
      </c>
      <c r="E216" s="8" t="s">
        <v>143</v>
      </c>
      <c r="F216" s="8">
        <v>64.28</v>
      </c>
      <c r="G216" s="8">
        <v>40.200000000000003</v>
      </c>
      <c r="H216" s="8">
        <v>25.81</v>
      </c>
      <c r="I216" s="8">
        <v>6.43</v>
      </c>
      <c r="J216" s="8">
        <v>22.5</v>
      </c>
      <c r="K216" s="2" t="str">
        <f t="shared" si="12"/>
        <v>Actual</v>
      </c>
      <c r="L216" s="1">
        <f t="shared" si="13"/>
        <v>10.003111387678899</v>
      </c>
      <c r="M216" s="1">
        <f t="shared" si="14"/>
        <v>35.003111387678899</v>
      </c>
      <c r="N216" s="1" t="str">
        <f t="shared" si="15"/>
        <v>Manufacturer</v>
      </c>
    </row>
    <row r="217" spans="1:14">
      <c r="A217" s="8">
        <v>2021</v>
      </c>
      <c r="B217" s="8" t="s">
        <v>142</v>
      </c>
      <c r="C217" s="25" t="s">
        <v>117</v>
      </c>
      <c r="D217" s="8" t="s">
        <v>118</v>
      </c>
      <c r="E217" s="8" t="s">
        <v>143</v>
      </c>
      <c r="F217" s="8">
        <v>69.3</v>
      </c>
      <c r="G217" s="8">
        <v>41.4</v>
      </c>
      <c r="H217" s="8">
        <v>28.7</v>
      </c>
      <c r="I217" s="8">
        <v>6.93</v>
      </c>
      <c r="J217" s="8">
        <v>24.26</v>
      </c>
      <c r="K217" s="2" t="str">
        <f t="shared" si="12"/>
        <v>Actual</v>
      </c>
      <c r="L217" s="1">
        <f t="shared" si="13"/>
        <v>10</v>
      </c>
      <c r="M217" s="1">
        <f t="shared" si="14"/>
        <v>35.007215007215002</v>
      </c>
      <c r="N217" s="1" t="str">
        <f t="shared" si="15"/>
        <v>Manufacturer</v>
      </c>
    </row>
    <row r="218" spans="1:14">
      <c r="A218" s="8">
        <v>2022</v>
      </c>
      <c r="B218" s="8" t="s">
        <v>142</v>
      </c>
      <c r="C218" s="25" t="s">
        <v>117</v>
      </c>
      <c r="D218" s="8" t="s">
        <v>118</v>
      </c>
      <c r="E218" s="8" t="s">
        <v>143</v>
      </c>
      <c r="F218" s="8">
        <v>75.7</v>
      </c>
      <c r="G218" s="8">
        <v>33.1</v>
      </c>
      <c r="H218" s="8">
        <v>25.09</v>
      </c>
      <c r="I218" s="8">
        <v>7.57</v>
      </c>
      <c r="J218" s="8">
        <v>26.5</v>
      </c>
      <c r="K218" s="2" t="str">
        <f t="shared" si="12"/>
        <v>Actual</v>
      </c>
      <c r="L218" s="1">
        <f t="shared" si="13"/>
        <v>10</v>
      </c>
      <c r="M218" s="1">
        <f t="shared" si="14"/>
        <v>35.006605019815098</v>
      </c>
      <c r="N218" s="1" t="str">
        <f t="shared" si="15"/>
        <v>Manufacturer</v>
      </c>
    </row>
    <row r="219" spans="1:14">
      <c r="A219" s="8">
        <v>2023</v>
      </c>
      <c r="B219" s="8" t="s">
        <v>142</v>
      </c>
      <c r="C219" s="25" t="s">
        <v>117</v>
      </c>
      <c r="D219" s="8" t="s">
        <v>118</v>
      </c>
      <c r="E219" s="8" t="s">
        <v>143</v>
      </c>
      <c r="F219" s="8">
        <v>50.38</v>
      </c>
      <c r="G219" s="8">
        <v>23.3</v>
      </c>
      <c r="H219" s="8">
        <v>11.75</v>
      </c>
      <c r="I219" s="8">
        <v>5.04</v>
      </c>
      <c r="J219" s="8">
        <v>17.63</v>
      </c>
      <c r="K219" s="2" t="str">
        <f t="shared" si="12"/>
        <v>Actual</v>
      </c>
      <c r="L219" s="1">
        <f t="shared" si="13"/>
        <v>10.003969829297301</v>
      </c>
      <c r="M219" s="1">
        <f t="shared" si="14"/>
        <v>34.994045256054001</v>
      </c>
      <c r="N219" s="1" t="str">
        <f t="shared" si="15"/>
        <v>Manufacturer</v>
      </c>
    </row>
    <row r="220" spans="1:14">
      <c r="A220" s="8">
        <v>2024</v>
      </c>
      <c r="B220" s="8" t="s">
        <v>142</v>
      </c>
      <c r="C220" s="25" t="s">
        <v>117</v>
      </c>
      <c r="D220" s="8" t="s">
        <v>118</v>
      </c>
      <c r="E220" s="8" t="s">
        <v>143</v>
      </c>
      <c r="F220" s="8">
        <v>74.790000000000006</v>
      </c>
      <c r="G220" s="8">
        <v>26.8</v>
      </c>
      <c r="H220" s="8">
        <v>20.059999999999999</v>
      </c>
      <c r="I220" s="8">
        <v>7.48</v>
      </c>
      <c r="J220" s="8">
        <v>26.18</v>
      </c>
      <c r="K220" s="2" t="str">
        <f t="shared" si="12"/>
        <v>Actual</v>
      </c>
      <c r="L220" s="1">
        <f t="shared" si="13"/>
        <v>10.001337077149399</v>
      </c>
      <c r="M220" s="1">
        <f t="shared" si="14"/>
        <v>35.004679770022697</v>
      </c>
      <c r="N220" s="1" t="str">
        <f t="shared" si="15"/>
        <v>Manufacturer</v>
      </c>
    </row>
    <row r="221" spans="1:14">
      <c r="A221" s="8">
        <v>2025</v>
      </c>
      <c r="B221" s="8" t="s">
        <v>142</v>
      </c>
      <c r="C221" s="25" t="s">
        <v>117</v>
      </c>
      <c r="D221" s="8" t="s">
        <v>118</v>
      </c>
      <c r="E221" s="8" t="s">
        <v>143</v>
      </c>
      <c r="F221" s="8">
        <v>83.84</v>
      </c>
      <c r="G221" s="8">
        <v>25.4</v>
      </c>
      <c r="H221" s="8">
        <v>21.3</v>
      </c>
      <c r="I221" s="8">
        <v>8.3800000000000008</v>
      </c>
      <c r="J221" s="8">
        <v>29.34</v>
      </c>
      <c r="K221" s="2" t="str">
        <f t="shared" si="12"/>
        <v>Forecast</v>
      </c>
      <c r="L221" s="1">
        <f t="shared" si="13"/>
        <v>9.9952290076335899</v>
      </c>
      <c r="M221" s="1">
        <f t="shared" si="14"/>
        <v>34.995229007633597</v>
      </c>
      <c r="N221" s="1" t="str">
        <f t="shared" si="15"/>
        <v>Manufacturer</v>
      </c>
    </row>
    <row r="222" spans="1:14">
      <c r="A222" s="8">
        <v>2026</v>
      </c>
      <c r="B222" s="8" t="s">
        <v>142</v>
      </c>
      <c r="C222" s="25" t="s">
        <v>117</v>
      </c>
      <c r="D222" s="8" t="s">
        <v>118</v>
      </c>
      <c r="E222" s="8" t="s">
        <v>143</v>
      </c>
      <c r="F222" s="8">
        <v>94.46</v>
      </c>
      <c r="G222" s="8">
        <v>19.3</v>
      </c>
      <c r="H222" s="8">
        <v>18.28</v>
      </c>
      <c r="I222" s="8">
        <v>9.4499999999999993</v>
      </c>
      <c r="J222" s="8">
        <v>33.06</v>
      </c>
      <c r="K222" s="2" t="str">
        <f t="shared" si="12"/>
        <v>Forecast</v>
      </c>
      <c r="L222" s="1">
        <f t="shared" si="13"/>
        <v>10.004234596654699</v>
      </c>
      <c r="M222" s="1">
        <f t="shared" si="14"/>
        <v>34.998941350836297</v>
      </c>
      <c r="N222" s="1" t="str">
        <f t="shared" si="15"/>
        <v>Manufacturer</v>
      </c>
    </row>
    <row r="223" spans="1:14">
      <c r="A223" s="8">
        <v>2010</v>
      </c>
      <c r="B223" s="8" t="s">
        <v>144</v>
      </c>
      <c r="C223" s="25" t="s">
        <v>145</v>
      </c>
      <c r="D223" s="8" t="s">
        <v>118</v>
      </c>
      <c r="E223" s="8" t="s">
        <v>143</v>
      </c>
      <c r="F223" s="8">
        <v>10.61</v>
      </c>
      <c r="G223" s="8">
        <v>23.9</v>
      </c>
      <c r="H223" s="8">
        <v>2.54</v>
      </c>
      <c r="I223" s="8">
        <v>1.06</v>
      </c>
      <c r="J223" s="8">
        <v>3.72</v>
      </c>
      <c r="K223" s="2" t="str">
        <f t="shared" si="12"/>
        <v>Actual</v>
      </c>
      <c r="L223" s="1">
        <f t="shared" si="13"/>
        <v>9.9905749293119701</v>
      </c>
      <c r="M223" s="1">
        <f t="shared" si="14"/>
        <v>35.061262959472202</v>
      </c>
      <c r="N223" s="1" t="str">
        <f t="shared" si="15"/>
        <v>Manufacturer</v>
      </c>
    </row>
    <row r="224" spans="1:14">
      <c r="A224" s="8">
        <v>2011</v>
      </c>
      <c r="B224" s="8" t="s">
        <v>144</v>
      </c>
      <c r="C224" s="25" t="s">
        <v>145</v>
      </c>
      <c r="D224" s="8" t="s">
        <v>118</v>
      </c>
      <c r="E224" s="8" t="s">
        <v>143</v>
      </c>
      <c r="F224" s="8">
        <v>11.58</v>
      </c>
      <c r="G224" s="8">
        <v>10.4</v>
      </c>
      <c r="H224" s="8">
        <v>1.21</v>
      </c>
      <c r="I224" s="8">
        <v>1.1599999999999999</v>
      </c>
      <c r="J224" s="8">
        <v>4.05</v>
      </c>
      <c r="K224" s="2" t="str">
        <f t="shared" si="12"/>
        <v>Actual</v>
      </c>
      <c r="L224" s="1">
        <f t="shared" si="13"/>
        <v>10.017271157167499</v>
      </c>
      <c r="M224" s="1">
        <f t="shared" si="14"/>
        <v>34.974093264248701</v>
      </c>
      <c r="N224" s="1" t="str">
        <f t="shared" si="15"/>
        <v>Manufacturer</v>
      </c>
    </row>
    <row r="225" spans="1:14">
      <c r="A225" s="8">
        <v>2012</v>
      </c>
      <c r="B225" s="8" t="s">
        <v>144</v>
      </c>
      <c r="C225" s="25" t="s">
        <v>145</v>
      </c>
      <c r="D225" s="8" t="s">
        <v>118</v>
      </c>
      <c r="E225" s="8" t="s">
        <v>143</v>
      </c>
      <c r="F225" s="8">
        <v>13.32</v>
      </c>
      <c r="G225" s="8">
        <v>10.4</v>
      </c>
      <c r="H225" s="8">
        <v>1.38</v>
      </c>
      <c r="I225" s="8">
        <v>1.33</v>
      </c>
      <c r="J225" s="8">
        <v>4.66</v>
      </c>
      <c r="K225" s="2" t="str">
        <f t="shared" si="12"/>
        <v>Actual</v>
      </c>
      <c r="L225" s="1">
        <f t="shared" si="13"/>
        <v>9.9849849849849797</v>
      </c>
      <c r="M225" s="1">
        <f t="shared" si="14"/>
        <v>34.984984984984997</v>
      </c>
      <c r="N225" s="1" t="str">
        <f t="shared" si="15"/>
        <v>Manufacturer</v>
      </c>
    </row>
    <row r="226" spans="1:14">
      <c r="A226" s="8">
        <v>2013</v>
      </c>
      <c r="B226" s="8" t="s">
        <v>144</v>
      </c>
      <c r="C226" s="25" t="s">
        <v>145</v>
      </c>
      <c r="D226" s="8" t="s">
        <v>118</v>
      </c>
      <c r="E226" s="8" t="s">
        <v>143</v>
      </c>
      <c r="F226" s="8">
        <v>14.58</v>
      </c>
      <c r="G226" s="8">
        <v>11.2</v>
      </c>
      <c r="H226" s="8">
        <v>1.63</v>
      </c>
      <c r="I226" s="8">
        <v>1.46</v>
      </c>
      <c r="J226" s="8">
        <v>5.0999999999999996</v>
      </c>
      <c r="K226" s="2" t="str">
        <f t="shared" si="12"/>
        <v>Actual</v>
      </c>
      <c r="L226" s="1">
        <f t="shared" si="13"/>
        <v>10.013717421124801</v>
      </c>
      <c r="M226" s="1">
        <f t="shared" si="14"/>
        <v>34.9794238683128</v>
      </c>
      <c r="N226" s="1" t="str">
        <f t="shared" si="15"/>
        <v>Manufacturer</v>
      </c>
    </row>
    <row r="227" spans="1:14">
      <c r="A227" s="8">
        <v>2014</v>
      </c>
      <c r="B227" s="8" t="s">
        <v>144</v>
      </c>
      <c r="C227" s="25" t="s">
        <v>145</v>
      </c>
      <c r="D227" s="8" t="s">
        <v>118</v>
      </c>
      <c r="E227" s="8" t="s">
        <v>143</v>
      </c>
      <c r="F227" s="8">
        <v>15.24</v>
      </c>
      <c r="G227" s="8">
        <v>12.1</v>
      </c>
      <c r="H227" s="8">
        <v>1.84</v>
      </c>
      <c r="I227" s="8">
        <v>1.52</v>
      </c>
      <c r="J227" s="8">
        <v>5.33</v>
      </c>
      <c r="K227" s="2" t="str">
        <f t="shared" si="12"/>
        <v>Actual</v>
      </c>
      <c r="L227" s="1">
        <f t="shared" si="13"/>
        <v>9.9737532808398992</v>
      </c>
      <c r="M227" s="1">
        <f t="shared" si="14"/>
        <v>34.973753280839901</v>
      </c>
      <c r="N227" s="1" t="str">
        <f t="shared" si="15"/>
        <v>Manufacturer</v>
      </c>
    </row>
    <row r="228" spans="1:14">
      <c r="A228" s="8">
        <v>2015</v>
      </c>
      <c r="B228" s="8" t="s">
        <v>144</v>
      </c>
      <c r="C228" s="25" t="s">
        <v>145</v>
      </c>
      <c r="D228" s="8" t="s">
        <v>118</v>
      </c>
      <c r="E228" s="8" t="s">
        <v>143</v>
      </c>
      <c r="F228" s="8">
        <v>17.489999999999998</v>
      </c>
      <c r="G228" s="8">
        <v>20.5</v>
      </c>
      <c r="H228" s="8">
        <v>3.58</v>
      </c>
      <c r="I228" s="8">
        <v>1.75</v>
      </c>
      <c r="J228" s="8">
        <v>6.12</v>
      </c>
      <c r="K228" s="2" t="str">
        <f t="shared" si="12"/>
        <v>Actual</v>
      </c>
      <c r="L228" s="1">
        <f t="shared" si="13"/>
        <v>10.005717552887401</v>
      </c>
      <c r="M228" s="1">
        <f t="shared" si="14"/>
        <v>34.991423670669001</v>
      </c>
      <c r="N228" s="1" t="str">
        <f t="shared" si="15"/>
        <v>Manufacturer</v>
      </c>
    </row>
    <row r="229" spans="1:14">
      <c r="A229" s="8">
        <v>2016</v>
      </c>
      <c r="B229" s="8" t="s">
        <v>144</v>
      </c>
      <c r="C229" s="25" t="s">
        <v>145</v>
      </c>
      <c r="D229" s="8" t="s">
        <v>118</v>
      </c>
      <c r="E229" s="8" t="s">
        <v>143</v>
      </c>
      <c r="F229" s="8">
        <v>22.88</v>
      </c>
      <c r="G229" s="8">
        <v>19.600000000000001</v>
      </c>
      <c r="H229" s="8">
        <v>4.49</v>
      </c>
      <c r="I229" s="8">
        <v>2.29</v>
      </c>
      <c r="J229" s="8">
        <v>8.01</v>
      </c>
      <c r="K229" s="2" t="str">
        <f t="shared" si="12"/>
        <v>Actual</v>
      </c>
      <c r="L229" s="1">
        <f t="shared" si="13"/>
        <v>10.008741258741299</v>
      </c>
      <c r="M229" s="1">
        <f t="shared" si="14"/>
        <v>35.008741258741303</v>
      </c>
      <c r="N229" s="1" t="str">
        <f t="shared" si="15"/>
        <v>Manufacturer</v>
      </c>
    </row>
    <row r="230" spans="1:14">
      <c r="A230" s="8">
        <v>2017</v>
      </c>
      <c r="B230" s="8" t="s">
        <v>144</v>
      </c>
      <c r="C230" s="25" t="s">
        <v>145</v>
      </c>
      <c r="D230" s="8" t="s">
        <v>118</v>
      </c>
      <c r="E230" s="8" t="s">
        <v>143</v>
      </c>
      <c r="F230" s="8">
        <v>30.12</v>
      </c>
      <c r="G230" s="8">
        <v>22.5</v>
      </c>
      <c r="H230" s="8">
        <v>6.77</v>
      </c>
      <c r="I230" s="8">
        <v>3.01</v>
      </c>
      <c r="J230" s="8">
        <v>10.54</v>
      </c>
      <c r="K230" s="2" t="str">
        <f t="shared" si="12"/>
        <v>Actual</v>
      </c>
      <c r="L230" s="1">
        <f t="shared" si="13"/>
        <v>9.9933598937582993</v>
      </c>
      <c r="M230" s="1">
        <f t="shared" si="14"/>
        <v>34.993359893758303</v>
      </c>
      <c r="N230" s="1" t="str">
        <f t="shared" si="15"/>
        <v>Manufacturer</v>
      </c>
    </row>
    <row r="231" spans="1:14">
      <c r="A231" s="8">
        <v>2018</v>
      </c>
      <c r="B231" s="8" t="s">
        <v>144</v>
      </c>
      <c r="C231" s="25" t="s">
        <v>145</v>
      </c>
      <c r="D231" s="8" t="s">
        <v>118</v>
      </c>
      <c r="E231" s="8" t="s">
        <v>143</v>
      </c>
      <c r="F231" s="8">
        <v>35.86</v>
      </c>
      <c r="G231" s="8">
        <v>30.8</v>
      </c>
      <c r="H231" s="8">
        <v>11.03</v>
      </c>
      <c r="I231" s="8">
        <v>3.59</v>
      </c>
      <c r="J231" s="8">
        <v>12.55</v>
      </c>
      <c r="K231" s="2" t="str">
        <f t="shared" si="12"/>
        <v>Actual</v>
      </c>
      <c r="L231" s="1">
        <f t="shared" si="13"/>
        <v>10.011154489682101</v>
      </c>
      <c r="M231" s="1">
        <f t="shared" si="14"/>
        <v>34.997211377579497</v>
      </c>
      <c r="N231" s="1" t="str">
        <f t="shared" si="15"/>
        <v>Manufacturer</v>
      </c>
    </row>
    <row r="232" spans="1:14">
      <c r="A232" s="8">
        <v>2019</v>
      </c>
      <c r="B232" s="8" t="s">
        <v>144</v>
      </c>
      <c r="C232" s="25" t="s">
        <v>145</v>
      </c>
      <c r="D232" s="8" t="s">
        <v>118</v>
      </c>
      <c r="E232" s="8" t="s">
        <v>143</v>
      </c>
      <c r="F232" s="8">
        <v>32.299999999999997</v>
      </c>
      <c r="G232" s="8">
        <v>33.299999999999997</v>
      </c>
      <c r="H232" s="8">
        <v>10.74</v>
      </c>
      <c r="I232" s="8">
        <v>3.23</v>
      </c>
      <c r="J232" s="8">
        <v>11.31</v>
      </c>
      <c r="K232" s="2" t="str">
        <f t="shared" si="12"/>
        <v>Actual</v>
      </c>
      <c r="L232" s="1">
        <f t="shared" si="13"/>
        <v>10</v>
      </c>
      <c r="M232" s="1">
        <f t="shared" si="14"/>
        <v>35.015479876161002</v>
      </c>
      <c r="N232" s="1" t="str">
        <f t="shared" si="15"/>
        <v>Manufacturer</v>
      </c>
    </row>
    <row r="233" spans="1:14">
      <c r="A233" s="8">
        <v>2020</v>
      </c>
      <c r="B233" s="8" t="s">
        <v>144</v>
      </c>
      <c r="C233" s="25" t="s">
        <v>145</v>
      </c>
      <c r="D233" s="8" t="s">
        <v>118</v>
      </c>
      <c r="E233" s="8" t="s">
        <v>143</v>
      </c>
      <c r="F233" s="8">
        <v>27.17</v>
      </c>
      <c r="G233" s="8">
        <v>32.799999999999997</v>
      </c>
      <c r="H233" s="8">
        <v>8.9</v>
      </c>
      <c r="I233" s="8">
        <v>2.72</v>
      </c>
      <c r="J233" s="8">
        <v>9.51</v>
      </c>
      <c r="K233" s="2" t="str">
        <f t="shared" si="12"/>
        <v>Actual</v>
      </c>
      <c r="L233" s="1">
        <f t="shared" si="13"/>
        <v>10.011041589989</v>
      </c>
      <c r="M233" s="1">
        <f t="shared" si="14"/>
        <v>35.001840264998201</v>
      </c>
      <c r="N233" s="1" t="str">
        <f t="shared" si="15"/>
        <v>Manufacturer</v>
      </c>
    </row>
    <row r="234" spans="1:14">
      <c r="A234" s="8">
        <v>2021</v>
      </c>
      <c r="B234" s="8" t="s">
        <v>144</v>
      </c>
      <c r="C234" s="25" t="s">
        <v>145</v>
      </c>
      <c r="D234" s="8" t="s">
        <v>118</v>
      </c>
      <c r="E234" s="8" t="s">
        <v>143</v>
      </c>
      <c r="F234" s="8">
        <v>30.7</v>
      </c>
      <c r="G234" s="8">
        <v>38.6</v>
      </c>
      <c r="H234" s="8">
        <v>11.86</v>
      </c>
      <c r="I234" s="8">
        <v>3.07</v>
      </c>
      <c r="J234" s="8">
        <v>10.75</v>
      </c>
      <c r="K234" s="2" t="str">
        <f t="shared" si="12"/>
        <v>Actual</v>
      </c>
      <c r="L234" s="1">
        <f t="shared" si="13"/>
        <v>10</v>
      </c>
      <c r="M234" s="1">
        <f t="shared" si="14"/>
        <v>35.016286644951101</v>
      </c>
      <c r="N234" s="1" t="str">
        <f t="shared" si="15"/>
        <v>Manufacturer</v>
      </c>
    </row>
    <row r="235" spans="1:14">
      <c r="A235" s="8">
        <v>2022</v>
      </c>
      <c r="B235" s="8" t="s">
        <v>144</v>
      </c>
      <c r="C235" s="25" t="s">
        <v>145</v>
      </c>
      <c r="D235" s="8" t="s">
        <v>118</v>
      </c>
      <c r="E235" s="8" t="s">
        <v>143</v>
      </c>
      <c r="F235" s="8">
        <v>34.69</v>
      </c>
      <c r="G235" s="8">
        <v>44.5</v>
      </c>
      <c r="H235" s="8">
        <v>15.42</v>
      </c>
      <c r="I235" s="8">
        <v>3.47</v>
      </c>
      <c r="J235" s="8">
        <v>12.14</v>
      </c>
      <c r="K235" s="2" t="str">
        <f t="shared" si="12"/>
        <v>Actual</v>
      </c>
      <c r="L235" s="1">
        <f t="shared" si="13"/>
        <v>10.0028826751225</v>
      </c>
      <c r="M235" s="1">
        <f t="shared" si="14"/>
        <v>34.995675987316197</v>
      </c>
      <c r="N235" s="1" t="str">
        <f t="shared" si="15"/>
        <v>Manufacturer</v>
      </c>
    </row>
    <row r="236" spans="1:14">
      <c r="A236" s="8">
        <v>2023</v>
      </c>
      <c r="B236" s="8" t="s">
        <v>144</v>
      </c>
      <c r="C236" s="25" t="s">
        <v>145</v>
      </c>
      <c r="D236" s="8" t="s">
        <v>118</v>
      </c>
      <c r="E236" s="8" t="s">
        <v>143</v>
      </c>
      <c r="F236" s="8">
        <v>25.33</v>
      </c>
      <c r="G236" s="8">
        <v>22.2</v>
      </c>
      <c r="H236" s="8">
        <v>5.63</v>
      </c>
      <c r="I236" s="8">
        <v>2.5299999999999998</v>
      </c>
      <c r="J236" s="8">
        <v>8.86</v>
      </c>
      <c r="K236" s="2" t="str">
        <f t="shared" si="12"/>
        <v>Actual</v>
      </c>
      <c r="L236" s="1">
        <f t="shared" si="13"/>
        <v>9.9881563363600492</v>
      </c>
      <c r="M236" s="1">
        <f t="shared" si="14"/>
        <v>34.9782866166601</v>
      </c>
      <c r="N236" s="1" t="str">
        <f t="shared" si="15"/>
        <v>Manufacturer</v>
      </c>
    </row>
    <row r="237" spans="1:14">
      <c r="A237" s="8">
        <v>2024</v>
      </c>
      <c r="B237" s="8" t="s">
        <v>144</v>
      </c>
      <c r="C237" s="25" t="s">
        <v>145</v>
      </c>
      <c r="D237" s="8" t="s">
        <v>118</v>
      </c>
      <c r="E237" s="8" t="s">
        <v>143</v>
      </c>
      <c r="F237" s="8">
        <v>51.53</v>
      </c>
      <c r="G237" s="8">
        <v>28.8</v>
      </c>
      <c r="H237" s="8">
        <v>14.84</v>
      </c>
      <c r="I237" s="8">
        <v>5.15</v>
      </c>
      <c r="J237" s="8">
        <v>18.04</v>
      </c>
      <c r="K237" s="2" t="str">
        <f t="shared" si="12"/>
        <v>Actual</v>
      </c>
      <c r="L237" s="1">
        <f t="shared" si="13"/>
        <v>9.9941781486512706</v>
      </c>
      <c r="M237" s="1">
        <f t="shared" si="14"/>
        <v>35.008732777023098</v>
      </c>
      <c r="N237" s="1" t="str">
        <f t="shared" si="15"/>
        <v>Manufacturer</v>
      </c>
    </row>
    <row r="238" spans="1:14">
      <c r="A238" s="8">
        <v>2025</v>
      </c>
      <c r="B238" s="8" t="s">
        <v>144</v>
      </c>
      <c r="C238" s="25" t="s">
        <v>145</v>
      </c>
      <c r="D238" s="8" t="s">
        <v>118</v>
      </c>
      <c r="E238" s="8" t="s">
        <v>143</v>
      </c>
      <c r="F238" s="8">
        <v>59.99</v>
      </c>
      <c r="G238" s="8">
        <v>24.7</v>
      </c>
      <c r="H238" s="8">
        <v>14.8</v>
      </c>
      <c r="I238" s="8">
        <v>6</v>
      </c>
      <c r="J238" s="8">
        <v>21</v>
      </c>
      <c r="K238" s="2" t="str">
        <f t="shared" si="12"/>
        <v>Forecast</v>
      </c>
      <c r="L238" s="1">
        <f t="shared" si="13"/>
        <v>10.001666944490699</v>
      </c>
      <c r="M238" s="1">
        <f t="shared" si="14"/>
        <v>35.005834305717599</v>
      </c>
      <c r="N238" s="1" t="str">
        <f t="shared" si="15"/>
        <v>Manufacturer</v>
      </c>
    </row>
    <row r="239" spans="1:14">
      <c r="A239" s="8">
        <v>2026</v>
      </c>
      <c r="B239" s="8" t="s">
        <v>144</v>
      </c>
      <c r="C239" s="25" t="s">
        <v>145</v>
      </c>
      <c r="D239" s="8" t="s">
        <v>118</v>
      </c>
      <c r="E239" s="8" t="s">
        <v>143</v>
      </c>
      <c r="F239" s="8">
        <v>71.31</v>
      </c>
      <c r="G239" s="8">
        <v>17.3</v>
      </c>
      <c r="H239" s="8">
        <v>12.37</v>
      </c>
      <c r="I239" s="8">
        <v>7.13</v>
      </c>
      <c r="J239" s="8">
        <v>24.96</v>
      </c>
      <c r="K239" s="2" t="str">
        <f t="shared" si="12"/>
        <v>Forecast</v>
      </c>
      <c r="L239" s="1">
        <f t="shared" si="13"/>
        <v>9.9985976721357392</v>
      </c>
      <c r="M239" s="1">
        <f t="shared" si="14"/>
        <v>35.002103491796397</v>
      </c>
      <c r="N239" s="1" t="str">
        <f t="shared" si="15"/>
        <v>Manufacturer</v>
      </c>
    </row>
    <row r="240" spans="1:14">
      <c r="A240" s="8">
        <v>2010</v>
      </c>
      <c r="B240" s="8" t="s">
        <v>146</v>
      </c>
      <c r="C240" s="8" t="s">
        <v>147</v>
      </c>
      <c r="D240" s="8" t="s">
        <v>121</v>
      </c>
      <c r="E240" s="8" t="s">
        <v>143</v>
      </c>
      <c r="F240" s="8">
        <v>8.7799999999999994</v>
      </c>
      <c r="G240" s="8">
        <v>16.5</v>
      </c>
      <c r="H240" s="8">
        <v>1.45</v>
      </c>
      <c r="I240" s="8">
        <v>0.88</v>
      </c>
      <c r="J240" s="8">
        <v>3.07</v>
      </c>
      <c r="K240" s="2" t="str">
        <f t="shared" si="12"/>
        <v>Actual</v>
      </c>
      <c r="L240" s="1">
        <f t="shared" si="13"/>
        <v>10.022779043280201</v>
      </c>
      <c r="M240" s="1">
        <f t="shared" si="14"/>
        <v>34.9658314350797</v>
      </c>
      <c r="N240" s="1" t="str">
        <f t="shared" si="15"/>
        <v>Manufacturer</v>
      </c>
    </row>
    <row r="241" spans="1:14">
      <c r="A241" s="8">
        <v>2011</v>
      </c>
      <c r="B241" s="8" t="s">
        <v>146</v>
      </c>
      <c r="C241" s="8" t="s">
        <v>147</v>
      </c>
      <c r="D241" s="8" t="s">
        <v>121</v>
      </c>
      <c r="E241" s="8" t="s">
        <v>143</v>
      </c>
      <c r="F241" s="8">
        <v>10.039999999999999</v>
      </c>
      <c r="G241" s="8">
        <v>22.7</v>
      </c>
      <c r="H241" s="8">
        <v>2.2799999999999998</v>
      </c>
      <c r="I241" s="8">
        <v>1</v>
      </c>
      <c r="J241" s="8">
        <v>3.51</v>
      </c>
      <c r="K241" s="2" t="str">
        <f t="shared" si="12"/>
        <v>Actual</v>
      </c>
      <c r="L241" s="1">
        <f t="shared" si="13"/>
        <v>9.9601593625498008</v>
      </c>
      <c r="M241" s="1">
        <f t="shared" si="14"/>
        <v>34.960159362549803</v>
      </c>
      <c r="N241" s="1" t="str">
        <f t="shared" si="15"/>
        <v>Manufacturer</v>
      </c>
    </row>
    <row r="242" spans="1:14">
      <c r="A242" s="8">
        <v>2012</v>
      </c>
      <c r="B242" s="8" t="s">
        <v>146</v>
      </c>
      <c r="C242" s="8" t="s">
        <v>147</v>
      </c>
      <c r="D242" s="8" t="s">
        <v>121</v>
      </c>
      <c r="E242" s="8" t="s">
        <v>143</v>
      </c>
      <c r="F242" s="8">
        <v>11.66</v>
      </c>
      <c r="G242" s="8">
        <v>15.7</v>
      </c>
      <c r="H242" s="8">
        <v>1.83</v>
      </c>
      <c r="I242" s="8">
        <v>1.17</v>
      </c>
      <c r="J242" s="8">
        <v>4.08</v>
      </c>
      <c r="K242" s="2" t="str">
        <f t="shared" si="12"/>
        <v>Actual</v>
      </c>
      <c r="L242" s="1">
        <f t="shared" si="13"/>
        <v>10.034305317324201</v>
      </c>
      <c r="M242" s="1">
        <f t="shared" si="14"/>
        <v>34.991423670669001</v>
      </c>
      <c r="N242" s="1" t="str">
        <f t="shared" si="15"/>
        <v>Manufacturer</v>
      </c>
    </row>
    <row r="243" spans="1:14">
      <c r="A243" s="8">
        <v>2013</v>
      </c>
      <c r="B243" s="8" t="s">
        <v>146</v>
      </c>
      <c r="C243" s="8" t="s">
        <v>147</v>
      </c>
      <c r="D243" s="8" t="s">
        <v>121</v>
      </c>
      <c r="E243" s="8" t="s">
        <v>143</v>
      </c>
      <c r="F243" s="8">
        <v>13.16</v>
      </c>
      <c r="G243" s="8">
        <v>11.7</v>
      </c>
      <c r="H243" s="8">
        <v>1.55</v>
      </c>
      <c r="I243" s="8">
        <v>1.32</v>
      </c>
      <c r="J243" s="8">
        <v>4.5999999999999996</v>
      </c>
      <c r="K243" s="2" t="str">
        <f t="shared" si="12"/>
        <v>Actual</v>
      </c>
      <c r="L243" s="1">
        <f t="shared" si="13"/>
        <v>10.0303951367781</v>
      </c>
      <c r="M243" s="1">
        <f t="shared" si="14"/>
        <v>34.954407294832798</v>
      </c>
      <c r="N243" s="1" t="str">
        <f t="shared" si="15"/>
        <v>Manufacturer</v>
      </c>
    </row>
    <row r="244" spans="1:14">
      <c r="A244" s="8">
        <v>2014</v>
      </c>
      <c r="B244" s="8" t="s">
        <v>146</v>
      </c>
      <c r="C244" s="8" t="s">
        <v>147</v>
      </c>
      <c r="D244" s="8" t="s">
        <v>121</v>
      </c>
      <c r="E244" s="8" t="s">
        <v>143</v>
      </c>
      <c r="F244" s="8">
        <v>14.64</v>
      </c>
      <c r="G244" s="8">
        <v>10.5</v>
      </c>
      <c r="H244" s="8">
        <v>1.54</v>
      </c>
      <c r="I244" s="8">
        <v>1.46</v>
      </c>
      <c r="J244" s="8">
        <v>5.12</v>
      </c>
      <c r="K244" s="2" t="str">
        <f t="shared" si="12"/>
        <v>Actual</v>
      </c>
      <c r="L244" s="1">
        <f t="shared" si="13"/>
        <v>9.9726775956284204</v>
      </c>
      <c r="M244" s="1">
        <f t="shared" si="14"/>
        <v>34.972677595628397</v>
      </c>
      <c r="N244" s="1" t="str">
        <f t="shared" si="15"/>
        <v>Manufacturer</v>
      </c>
    </row>
    <row r="245" spans="1:14">
      <c r="A245" s="8">
        <v>2015</v>
      </c>
      <c r="B245" s="8" t="s">
        <v>146</v>
      </c>
      <c r="C245" s="8" t="s">
        <v>147</v>
      </c>
      <c r="D245" s="8" t="s">
        <v>121</v>
      </c>
      <c r="E245" s="8" t="s">
        <v>143</v>
      </c>
      <c r="F245" s="8">
        <v>15.83</v>
      </c>
      <c r="G245" s="8">
        <v>15.5</v>
      </c>
      <c r="H245" s="8">
        <v>2.46</v>
      </c>
      <c r="I245" s="8">
        <v>1.58</v>
      </c>
      <c r="J245" s="8">
        <v>5.54</v>
      </c>
      <c r="K245" s="2" t="str">
        <f t="shared" si="12"/>
        <v>Actual</v>
      </c>
      <c r="L245" s="1">
        <f t="shared" si="13"/>
        <v>9.9810486418193296</v>
      </c>
      <c r="M245" s="1">
        <f t="shared" si="14"/>
        <v>34.9968414403032</v>
      </c>
      <c r="N245" s="1" t="str">
        <f t="shared" si="15"/>
        <v>Manufacturer</v>
      </c>
    </row>
    <row r="246" spans="1:14">
      <c r="A246" s="8">
        <v>2016</v>
      </c>
      <c r="B246" s="8" t="s">
        <v>146</v>
      </c>
      <c r="C246" s="8" t="s">
        <v>147</v>
      </c>
      <c r="D246" s="8" t="s">
        <v>121</v>
      </c>
      <c r="E246" s="8" t="s">
        <v>143</v>
      </c>
      <c r="F246" s="8">
        <v>20.41</v>
      </c>
      <c r="G246" s="8">
        <v>21.2</v>
      </c>
      <c r="H246" s="8">
        <v>4.32</v>
      </c>
      <c r="I246" s="8">
        <v>2.04</v>
      </c>
      <c r="J246" s="8">
        <v>7.14</v>
      </c>
      <c r="K246" s="2" t="str">
        <f t="shared" si="12"/>
        <v>Actual</v>
      </c>
      <c r="L246" s="1">
        <f t="shared" si="13"/>
        <v>9.9951004409603108</v>
      </c>
      <c r="M246" s="1">
        <f t="shared" si="14"/>
        <v>34.9828515433611</v>
      </c>
      <c r="N246" s="1" t="str">
        <f t="shared" si="15"/>
        <v>Manufacturer</v>
      </c>
    </row>
    <row r="247" spans="1:14">
      <c r="A247" s="8">
        <v>2017</v>
      </c>
      <c r="B247" s="8" t="s">
        <v>146</v>
      </c>
      <c r="C247" s="8" t="s">
        <v>147</v>
      </c>
      <c r="D247" s="8" t="s">
        <v>121</v>
      </c>
      <c r="E247" s="8" t="s">
        <v>143</v>
      </c>
      <c r="F247" s="8">
        <v>26.52</v>
      </c>
      <c r="G247" s="8">
        <v>26.1</v>
      </c>
      <c r="H247" s="8">
        <v>6.92</v>
      </c>
      <c r="I247" s="8">
        <v>2.65</v>
      </c>
      <c r="J247" s="8">
        <v>9.2799999999999994</v>
      </c>
      <c r="K247" s="2" t="str">
        <f t="shared" si="12"/>
        <v>Actual</v>
      </c>
      <c r="L247" s="1">
        <f t="shared" si="13"/>
        <v>9.9924585218702902</v>
      </c>
      <c r="M247" s="1">
        <f t="shared" si="14"/>
        <v>34.992458521870297</v>
      </c>
      <c r="N247" s="1" t="str">
        <f t="shared" si="15"/>
        <v>Manufacturer</v>
      </c>
    </row>
    <row r="248" spans="1:14">
      <c r="A248" s="8">
        <v>2018</v>
      </c>
      <c r="B248" s="8" t="s">
        <v>146</v>
      </c>
      <c r="C248" s="8" t="s">
        <v>147</v>
      </c>
      <c r="D248" s="8" t="s">
        <v>121</v>
      </c>
      <c r="E248" s="8" t="s">
        <v>143</v>
      </c>
      <c r="F248" s="8">
        <v>30.14</v>
      </c>
      <c r="G248" s="8">
        <v>32.200000000000003</v>
      </c>
      <c r="H248" s="8">
        <v>9.7100000000000009</v>
      </c>
      <c r="I248" s="8">
        <v>3.01</v>
      </c>
      <c r="J248" s="8">
        <v>10.55</v>
      </c>
      <c r="K248" s="2" t="str">
        <f t="shared" si="12"/>
        <v>Actual</v>
      </c>
      <c r="L248" s="1">
        <f t="shared" si="13"/>
        <v>9.9867285998672894</v>
      </c>
      <c r="M248" s="1">
        <f t="shared" si="14"/>
        <v>35.003317850033199</v>
      </c>
      <c r="N248" s="1" t="str">
        <f t="shared" si="15"/>
        <v>Manufacturer</v>
      </c>
    </row>
    <row r="249" spans="1:14">
      <c r="A249" s="8">
        <v>2019</v>
      </c>
      <c r="B249" s="8" t="s">
        <v>146</v>
      </c>
      <c r="C249" s="8" t="s">
        <v>147</v>
      </c>
      <c r="D249" s="8" t="s">
        <v>121</v>
      </c>
      <c r="E249" s="8" t="s">
        <v>143</v>
      </c>
      <c r="F249" s="8">
        <v>25.66</v>
      </c>
      <c r="G249" s="8">
        <v>38.6</v>
      </c>
      <c r="H249" s="8">
        <v>9.9</v>
      </c>
      <c r="I249" s="8">
        <v>2.57</v>
      </c>
      <c r="J249" s="8">
        <v>8.98</v>
      </c>
      <c r="K249" s="2" t="str">
        <f t="shared" si="12"/>
        <v>Actual</v>
      </c>
      <c r="L249" s="1">
        <f t="shared" si="13"/>
        <v>10.015588464536201</v>
      </c>
      <c r="M249" s="1">
        <f t="shared" si="14"/>
        <v>34.996102883865902</v>
      </c>
      <c r="N249" s="1" t="str">
        <f t="shared" si="15"/>
        <v>Manufacturer</v>
      </c>
    </row>
    <row r="250" spans="1:14">
      <c r="A250" s="8">
        <v>2020</v>
      </c>
      <c r="B250" s="8" t="s">
        <v>146</v>
      </c>
      <c r="C250" s="8" t="s">
        <v>147</v>
      </c>
      <c r="D250" s="8" t="s">
        <v>121</v>
      </c>
      <c r="E250" s="8" t="s">
        <v>143</v>
      </c>
      <c r="F250" s="8">
        <v>20.260000000000002</v>
      </c>
      <c r="G250" s="8">
        <v>38</v>
      </c>
      <c r="H250" s="8">
        <v>7.69</v>
      </c>
      <c r="I250" s="8">
        <v>2.0299999999999998</v>
      </c>
      <c r="J250" s="8">
        <v>7.09</v>
      </c>
      <c r="K250" s="2" t="str">
        <f t="shared" si="12"/>
        <v>Actual</v>
      </c>
      <c r="L250" s="1">
        <f t="shared" si="13"/>
        <v>10.0197433366239</v>
      </c>
      <c r="M250" s="1">
        <f t="shared" si="14"/>
        <v>34.995064165843999</v>
      </c>
      <c r="N250" s="1" t="str">
        <f t="shared" si="15"/>
        <v>Manufacturer</v>
      </c>
    </row>
    <row r="251" spans="1:14">
      <c r="A251" s="8">
        <v>2021</v>
      </c>
      <c r="B251" s="8" t="s">
        <v>146</v>
      </c>
      <c r="C251" s="8" t="s">
        <v>147</v>
      </c>
      <c r="D251" s="8" t="s">
        <v>121</v>
      </c>
      <c r="E251" s="8" t="s">
        <v>143</v>
      </c>
      <c r="F251" s="8">
        <v>24.59</v>
      </c>
      <c r="G251" s="8">
        <v>35.5</v>
      </c>
      <c r="H251" s="8">
        <v>8.73</v>
      </c>
      <c r="I251" s="8">
        <v>2.46</v>
      </c>
      <c r="J251" s="8">
        <v>8.61</v>
      </c>
      <c r="K251" s="2" t="str">
        <f t="shared" si="12"/>
        <v>Actual</v>
      </c>
      <c r="L251" s="1">
        <f t="shared" si="13"/>
        <v>10.004066693778</v>
      </c>
      <c r="M251" s="1">
        <f t="shared" si="14"/>
        <v>35.014233428222902</v>
      </c>
      <c r="N251" s="1" t="str">
        <f t="shared" si="15"/>
        <v>Manufacturer</v>
      </c>
    </row>
    <row r="252" spans="1:14">
      <c r="A252" s="8">
        <v>2022</v>
      </c>
      <c r="B252" s="8" t="s">
        <v>146</v>
      </c>
      <c r="C252" s="8" t="s">
        <v>147</v>
      </c>
      <c r="D252" s="8" t="s">
        <v>121</v>
      </c>
      <c r="E252" s="8" t="s">
        <v>143</v>
      </c>
      <c r="F252" s="8">
        <v>32.090000000000003</v>
      </c>
      <c r="G252" s="8">
        <v>41.3</v>
      </c>
      <c r="H252" s="8">
        <v>13.26</v>
      </c>
      <c r="I252" s="8">
        <v>3.21</v>
      </c>
      <c r="J252" s="8">
        <v>11.23</v>
      </c>
      <c r="K252" s="2" t="str">
        <f t="shared" si="12"/>
        <v>Actual</v>
      </c>
      <c r="L252" s="1">
        <f t="shared" si="13"/>
        <v>10.003116235587401</v>
      </c>
      <c r="M252" s="1">
        <f t="shared" si="14"/>
        <v>34.995325646618902</v>
      </c>
      <c r="N252" s="1" t="str">
        <f t="shared" si="15"/>
        <v>Manufacturer</v>
      </c>
    </row>
    <row r="253" spans="1:14">
      <c r="A253" s="8">
        <v>2023</v>
      </c>
      <c r="B253" s="8" t="s">
        <v>146</v>
      </c>
      <c r="C253" s="8" t="s">
        <v>147</v>
      </c>
      <c r="D253" s="8" t="s">
        <v>121</v>
      </c>
      <c r="E253" s="8" t="s">
        <v>143</v>
      </c>
      <c r="F253" s="8">
        <v>15.17</v>
      </c>
      <c r="G253" s="8">
        <v>20.6</v>
      </c>
      <c r="H253" s="8">
        <v>3.13</v>
      </c>
      <c r="I253" s="8">
        <v>1.52</v>
      </c>
      <c r="J253" s="8">
        <v>5.31</v>
      </c>
      <c r="K253" s="2" t="str">
        <f t="shared" si="12"/>
        <v>Actual</v>
      </c>
      <c r="L253" s="1">
        <f t="shared" si="13"/>
        <v>10.0197758734344</v>
      </c>
      <c r="M253" s="1">
        <f t="shared" si="14"/>
        <v>35.003295978905697</v>
      </c>
      <c r="N253" s="1" t="str">
        <f t="shared" si="15"/>
        <v>Manufacturer</v>
      </c>
    </row>
    <row r="254" spans="1:14">
      <c r="A254" s="8">
        <v>2024</v>
      </c>
      <c r="B254" s="8" t="s">
        <v>146</v>
      </c>
      <c r="C254" s="8" t="s">
        <v>147</v>
      </c>
      <c r="D254" s="8" t="s">
        <v>121</v>
      </c>
      <c r="E254" s="8" t="s">
        <v>143</v>
      </c>
      <c r="F254" s="8">
        <v>22.96</v>
      </c>
      <c r="G254" s="8">
        <v>28.4</v>
      </c>
      <c r="H254" s="8">
        <v>6.52</v>
      </c>
      <c r="I254" s="8">
        <v>2.2999999999999998</v>
      </c>
      <c r="J254" s="8">
        <v>8.0399999999999991</v>
      </c>
      <c r="K254" s="2" t="str">
        <f t="shared" si="12"/>
        <v>Actual</v>
      </c>
      <c r="L254" s="1">
        <f t="shared" si="13"/>
        <v>10.0174216027875</v>
      </c>
      <c r="M254" s="1">
        <f t="shared" si="14"/>
        <v>35.0174216027875</v>
      </c>
      <c r="N254" s="1" t="str">
        <f t="shared" si="15"/>
        <v>Manufacturer</v>
      </c>
    </row>
    <row r="255" spans="1:14">
      <c r="A255" s="8">
        <v>2025</v>
      </c>
      <c r="B255" s="8" t="s">
        <v>146</v>
      </c>
      <c r="C255" s="8" t="s">
        <v>147</v>
      </c>
      <c r="D255" s="8" t="s">
        <v>121</v>
      </c>
      <c r="E255" s="8" t="s">
        <v>143</v>
      </c>
      <c r="F255" s="8">
        <v>33.93</v>
      </c>
      <c r="G255" s="8">
        <v>25.4</v>
      </c>
      <c r="H255" s="8">
        <v>8.6300000000000008</v>
      </c>
      <c r="I255" s="8">
        <v>3.39</v>
      </c>
      <c r="J255" s="8">
        <v>11.87</v>
      </c>
      <c r="K255" s="2" t="str">
        <f t="shared" si="12"/>
        <v>Forecast</v>
      </c>
      <c r="L255" s="1">
        <f t="shared" si="13"/>
        <v>9.9911582670203405</v>
      </c>
      <c r="M255" s="1">
        <f t="shared" si="14"/>
        <v>34.983790156203902</v>
      </c>
      <c r="N255" s="1" t="str">
        <f t="shared" si="15"/>
        <v>Manufacturer</v>
      </c>
    </row>
    <row r="256" spans="1:14">
      <c r="A256" s="8">
        <v>2026</v>
      </c>
      <c r="B256" s="8" t="s">
        <v>146</v>
      </c>
      <c r="C256" s="8" t="s">
        <v>147</v>
      </c>
      <c r="D256" s="8" t="s">
        <v>121</v>
      </c>
      <c r="E256" s="8" t="s">
        <v>143</v>
      </c>
      <c r="F256" s="8">
        <v>37.369999999999997</v>
      </c>
      <c r="G256" s="8">
        <v>19.8</v>
      </c>
      <c r="H256" s="8">
        <v>7.38</v>
      </c>
      <c r="I256" s="8">
        <v>3.74</v>
      </c>
      <c r="J256" s="8">
        <v>13.08</v>
      </c>
      <c r="K256" s="2" t="str">
        <f t="shared" si="12"/>
        <v>Forecast</v>
      </c>
      <c r="L256" s="1">
        <f t="shared" si="13"/>
        <v>10.00802782981</v>
      </c>
      <c r="M256" s="1">
        <f t="shared" si="14"/>
        <v>35.001337971635003</v>
      </c>
      <c r="N256" s="1" t="str">
        <f t="shared" si="15"/>
        <v>Manufacturer</v>
      </c>
    </row>
    <row r="257" spans="1:14">
      <c r="A257" s="8">
        <v>2010</v>
      </c>
      <c r="B257" s="8" t="s">
        <v>148</v>
      </c>
      <c r="C257" s="8" t="s">
        <v>149</v>
      </c>
      <c r="D257" s="8" t="s">
        <v>121</v>
      </c>
      <c r="E257" s="8" t="s">
        <v>150</v>
      </c>
      <c r="F257" s="8">
        <v>13.26</v>
      </c>
      <c r="G257" s="8">
        <v>44.1</v>
      </c>
      <c r="H257" s="8">
        <v>5.85</v>
      </c>
      <c r="I257" s="8">
        <v>1.59</v>
      </c>
      <c r="J257" s="8">
        <v>1.59</v>
      </c>
      <c r="K257" s="2" t="str">
        <f t="shared" si="12"/>
        <v>Actual</v>
      </c>
      <c r="L257" s="1">
        <f t="shared" si="13"/>
        <v>11.9909502262443</v>
      </c>
      <c r="M257" s="1">
        <f t="shared" si="14"/>
        <v>11.9909502262443</v>
      </c>
      <c r="N257" s="1" t="str">
        <f t="shared" si="15"/>
        <v>Manufacturer</v>
      </c>
    </row>
    <row r="258" spans="1:14">
      <c r="A258" s="8">
        <v>2011</v>
      </c>
      <c r="B258" s="8" t="s">
        <v>148</v>
      </c>
      <c r="C258" s="8" t="s">
        <v>149</v>
      </c>
      <c r="D258" s="8" t="s">
        <v>121</v>
      </c>
      <c r="E258" s="8" t="s">
        <v>150</v>
      </c>
      <c r="F258" s="8">
        <v>13.76</v>
      </c>
      <c r="G258" s="8">
        <v>44.7</v>
      </c>
      <c r="H258" s="8">
        <v>6.16</v>
      </c>
      <c r="I258" s="8">
        <v>1.65</v>
      </c>
      <c r="J258" s="8">
        <v>1.65</v>
      </c>
      <c r="K258" s="2" t="str">
        <f t="shared" si="12"/>
        <v>Actual</v>
      </c>
      <c r="L258" s="1">
        <f t="shared" si="13"/>
        <v>11.991279069767399</v>
      </c>
      <c r="M258" s="1">
        <f t="shared" si="14"/>
        <v>11.991279069767399</v>
      </c>
      <c r="N258" s="1" t="str">
        <f t="shared" si="15"/>
        <v>Manufacturer</v>
      </c>
    </row>
    <row r="259" spans="1:14">
      <c r="A259" s="8">
        <v>2012</v>
      </c>
      <c r="B259" s="8" t="s">
        <v>148</v>
      </c>
      <c r="C259" s="8" t="s">
        <v>149</v>
      </c>
      <c r="D259" s="8" t="s">
        <v>121</v>
      </c>
      <c r="E259" s="8" t="s">
        <v>150</v>
      </c>
      <c r="F259" s="8">
        <v>13.87</v>
      </c>
      <c r="G259" s="8">
        <v>46</v>
      </c>
      <c r="H259" s="8">
        <v>6.38</v>
      </c>
      <c r="I259" s="8">
        <v>1.66</v>
      </c>
      <c r="J259" s="8">
        <v>1.66</v>
      </c>
      <c r="K259" s="2" t="str">
        <f t="shared" ref="K259:K322" si="16">IF(A259&gt;=2025,"Forecast","Actual")</f>
        <v>Actual</v>
      </c>
      <c r="L259" s="1">
        <f t="shared" ref="L259:L322" si="17">IF(F259=0,0,I259/F259*100)</f>
        <v>11.9682768565249</v>
      </c>
      <c r="M259" s="1">
        <f t="shared" ref="M259:M322" si="18">IF(F259=0,0,J259/F259*100)</f>
        <v>11.9682768565249</v>
      </c>
      <c r="N259" s="1" t="str">
        <f t="shared" ref="N259:N322" si="19">IF(LEFT(E259,7)="fabless","Fabless",IF(LEFT(E259,9)="equipment","Equipment",IF(E259="foundry","Manufacturer",IF(LEFT(E259,3)="idm","Manufacturer",IF(E259="eda_software","EDA Software","Other")))))</f>
        <v>Manufacturer</v>
      </c>
    </row>
    <row r="260" spans="1:14">
      <c r="A260" s="8">
        <v>2013</v>
      </c>
      <c r="B260" s="8" t="s">
        <v>148</v>
      </c>
      <c r="C260" s="8" t="s">
        <v>149</v>
      </c>
      <c r="D260" s="8" t="s">
        <v>121</v>
      </c>
      <c r="E260" s="8" t="s">
        <v>150</v>
      </c>
      <c r="F260" s="8">
        <v>13.63</v>
      </c>
      <c r="G260" s="8">
        <v>42.9</v>
      </c>
      <c r="H260" s="8">
        <v>5.85</v>
      </c>
      <c r="I260" s="8">
        <v>1.64</v>
      </c>
      <c r="J260" s="8">
        <v>1.64</v>
      </c>
      <c r="K260" s="2" t="str">
        <f t="shared" si="16"/>
        <v>Actual</v>
      </c>
      <c r="L260" s="1">
        <f t="shared" si="17"/>
        <v>12.032281731474701</v>
      </c>
      <c r="M260" s="1">
        <f t="shared" si="18"/>
        <v>12.032281731474701</v>
      </c>
      <c r="N260" s="1" t="str">
        <f t="shared" si="19"/>
        <v>Manufacturer</v>
      </c>
    </row>
    <row r="261" spans="1:14">
      <c r="A261" s="8">
        <v>2014</v>
      </c>
      <c r="B261" s="8" t="s">
        <v>148</v>
      </c>
      <c r="C261" s="8" t="s">
        <v>149</v>
      </c>
      <c r="D261" s="8" t="s">
        <v>121</v>
      </c>
      <c r="E261" s="8" t="s">
        <v>150</v>
      </c>
      <c r="F261" s="8">
        <v>13.54</v>
      </c>
      <c r="G261" s="8">
        <v>49.9</v>
      </c>
      <c r="H261" s="8">
        <v>6.75</v>
      </c>
      <c r="I261" s="8">
        <v>1.62</v>
      </c>
      <c r="J261" s="8">
        <v>1.62</v>
      </c>
      <c r="K261" s="2" t="str">
        <f t="shared" si="16"/>
        <v>Actual</v>
      </c>
      <c r="L261" s="1">
        <f t="shared" si="17"/>
        <v>11.9645494830133</v>
      </c>
      <c r="M261" s="1">
        <f t="shared" si="18"/>
        <v>11.9645494830133</v>
      </c>
      <c r="N261" s="1" t="str">
        <f t="shared" si="19"/>
        <v>Manufacturer</v>
      </c>
    </row>
    <row r="262" spans="1:14">
      <c r="A262" s="8">
        <v>2015</v>
      </c>
      <c r="B262" s="8" t="s">
        <v>148</v>
      </c>
      <c r="C262" s="8" t="s">
        <v>149</v>
      </c>
      <c r="D262" s="8" t="s">
        <v>121</v>
      </c>
      <c r="E262" s="8" t="s">
        <v>150</v>
      </c>
      <c r="F262" s="8">
        <v>12.63</v>
      </c>
      <c r="G262" s="8">
        <v>42.3</v>
      </c>
      <c r="H262" s="8">
        <v>5.35</v>
      </c>
      <c r="I262" s="8">
        <v>1.52</v>
      </c>
      <c r="J262" s="8">
        <v>1.52</v>
      </c>
      <c r="K262" s="2" t="str">
        <f t="shared" si="16"/>
        <v>Actual</v>
      </c>
      <c r="L262" s="1">
        <f t="shared" si="17"/>
        <v>12.0348376880443</v>
      </c>
      <c r="M262" s="1">
        <f t="shared" si="18"/>
        <v>12.0348376880443</v>
      </c>
      <c r="N262" s="1" t="str">
        <f t="shared" si="19"/>
        <v>Manufacturer</v>
      </c>
    </row>
    <row r="263" spans="1:14">
      <c r="A263" s="8">
        <v>2016</v>
      </c>
      <c r="B263" s="8" t="s">
        <v>148</v>
      </c>
      <c r="C263" s="8" t="s">
        <v>149</v>
      </c>
      <c r="D263" s="8" t="s">
        <v>121</v>
      </c>
      <c r="E263" s="8" t="s">
        <v>150</v>
      </c>
      <c r="F263" s="8">
        <v>14.5</v>
      </c>
      <c r="G263" s="8">
        <v>44.4</v>
      </c>
      <c r="H263" s="8">
        <v>6.44</v>
      </c>
      <c r="I263" s="8">
        <v>1.74</v>
      </c>
      <c r="J263" s="8">
        <v>1.74</v>
      </c>
      <c r="K263" s="2" t="str">
        <f t="shared" si="16"/>
        <v>Actual</v>
      </c>
      <c r="L263" s="1">
        <f t="shared" si="17"/>
        <v>12</v>
      </c>
      <c r="M263" s="1">
        <f t="shared" si="18"/>
        <v>12</v>
      </c>
      <c r="N263" s="1" t="str">
        <f t="shared" si="19"/>
        <v>Manufacturer</v>
      </c>
    </row>
    <row r="264" spans="1:14">
      <c r="A264" s="8">
        <v>2017</v>
      </c>
      <c r="B264" s="8" t="s">
        <v>148</v>
      </c>
      <c r="C264" s="8" t="s">
        <v>149</v>
      </c>
      <c r="D264" s="8" t="s">
        <v>121</v>
      </c>
      <c r="E264" s="8" t="s">
        <v>150</v>
      </c>
      <c r="F264" s="8">
        <v>15.51</v>
      </c>
      <c r="G264" s="8">
        <v>43.7</v>
      </c>
      <c r="H264" s="8">
        <v>6.77</v>
      </c>
      <c r="I264" s="8">
        <v>1.86</v>
      </c>
      <c r="J264" s="8">
        <v>1.86</v>
      </c>
      <c r="K264" s="2" t="str">
        <f t="shared" si="16"/>
        <v>Actual</v>
      </c>
      <c r="L264" s="1">
        <f t="shared" si="17"/>
        <v>11.992263056092799</v>
      </c>
      <c r="M264" s="1">
        <f t="shared" si="18"/>
        <v>11.992263056092799</v>
      </c>
      <c r="N264" s="1" t="str">
        <f t="shared" si="19"/>
        <v>Manufacturer</v>
      </c>
    </row>
    <row r="265" spans="1:14">
      <c r="A265" s="8">
        <v>2018</v>
      </c>
      <c r="B265" s="8" t="s">
        <v>148</v>
      </c>
      <c r="C265" s="8" t="s">
        <v>149</v>
      </c>
      <c r="D265" s="8" t="s">
        <v>121</v>
      </c>
      <c r="E265" s="8" t="s">
        <v>150</v>
      </c>
      <c r="F265" s="8">
        <v>16.5</v>
      </c>
      <c r="G265" s="8">
        <v>45.4</v>
      </c>
      <c r="H265" s="8">
        <v>7.49</v>
      </c>
      <c r="I265" s="8">
        <v>1.98</v>
      </c>
      <c r="J265" s="8">
        <v>1.98</v>
      </c>
      <c r="K265" s="2" t="str">
        <f t="shared" si="16"/>
        <v>Actual</v>
      </c>
      <c r="L265" s="1">
        <f t="shared" si="17"/>
        <v>12</v>
      </c>
      <c r="M265" s="1">
        <f t="shared" si="18"/>
        <v>12</v>
      </c>
      <c r="N265" s="1" t="str">
        <f t="shared" si="19"/>
        <v>Manufacturer</v>
      </c>
    </row>
    <row r="266" spans="1:14">
      <c r="A266" s="8">
        <v>2019</v>
      </c>
      <c r="B266" s="8" t="s">
        <v>148</v>
      </c>
      <c r="C266" s="8" t="s">
        <v>149</v>
      </c>
      <c r="D266" s="8" t="s">
        <v>121</v>
      </c>
      <c r="E266" s="8" t="s">
        <v>150</v>
      </c>
      <c r="F266" s="8">
        <v>15.27</v>
      </c>
      <c r="G266" s="8">
        <v>49.7</v>
      </c>
      <c r="H266" s="8">
        <v>7.59</v>
      </c>
      <c r="I266" s="8">
        <v>1.83</v>
      </c>
      <c r="J266" s="8">
        <v>1.83</v>
      </c>
      <c r="K266" s="2" t="str">
        <f t="shared" si="16"/>
        <v>Actual</v>
      </c>
      <c r="L266" s="1">
        <f t="shared" si="17"/>
        <v>11.9842829076621</v>
      </c>
      <c r="M266" s="1">
        <f t="shared" si="18"/>
        <v>11.9842829076621</v>
      </c>
      <c r="N266" s="1" t="str">
        <f t="shared" si="19"/>
        <v>Manufacturer</v>
      </c>
    </row>
    <row r="267" spans="1:14">
      <c r="A267" s="8">
        <v>2020</v>
      </c>
      <c r="B267" s="8" t="s">
        <v>148</v>
      </c>
      <c r="C267" s="8" t="s">
        <v>149</v>
      </c>
      <c r="D267" s="8" t="s">
        <v>121</v>
      </c>
      <c r="E267" s="8" t="s">
        <v>150</v>
      </c>
      <c r="F267" s="8">
        <v>14.34</v>
      </c>
      <c r="G267" s="8">
        <v>42.2</v>
      </c>
      <c r="H267" s="8">
        <v>6.05</v>
      </c>
      <c r="I267" s="8">
        <v>1.72</v>
      </c>
      <c r="J267" s="8">
        <v>1.72</v>
      </c>
      <c r="K267" s="2" t="str">
        <f t="shared" si="16"/>
        <v>Actual</v>
      </c>
      <c r="L267" s="1">
        <f t="shared" si="17"/>
        <v>11.994421199442099</v>
      </c>
      <c r="M267" s="1">
        <f t="shared" si="18"/>
        <v>11.994421199442099</v>
      </c>
      <c r="N267" s="1" t="str">
        <f t="shared" si="19"/>
        <v>Manufacturer</v>
      </c>
    </row>
    <row r="268" spans="1:14">
      <c r="A268" s="8">
        <v>2021</v>
      </c>
      <c r="B268" s="8" t="s">
        <v>148</v>
      </c>
      <c r="C268" s="8" t="s">
        <v>149</v>
      </c>
      <c r="D268" s="8" t="s">
        <v>121</v>
      </c>
      <c r="E268" s="8" t="s">
        <v>150</v>
      </c>
      <c r="F268" s="8">
        <v>17.02</v>
      </c>
      <c r="G268" s="8">
        <v>46.4</v>
      </c>
      <c r="H268" s="8">
        <v>7.89</v>
      </c>
      <c r="I268" s="8">
        <v>2.04</v>
      </c>
      <c r="J268" s="8">
        <v>2.04</v>
      </c>
      <c r="K268" s="2" t="str">
        <f t="shared" si="16"/>
        <v>Actual</v>
      </c>
      <c r="L268" s="1">
        <f t="shared" si="17"/>
        <v>11.9858989424207</v>
      </c>
      <c r="M268" s="1">
        <f t="shared" si="18"/>
        <v>11.9858989424207</v>
      </c>
      <c r="N268" s="1" t="str">
        <f t="shared" si="19"/>
        <v>Manufacturer</v>
      </c>
    </row>
    <row r="269" spans="1:14">
      <c r="A269" s="8">
        <v>2022</v>
      </c>
      <c r="B269" s="8" t="s">
        <v>148</v>
      </c>
      <c r="C269" s="8" t="s">
        <v>149</v>
      </c>
      <c r="D269" s="8" t="s">
        <v>121</v>
      </c>
      <c r="E269" s="8" t="s">
        <v>150</v>
      </c>
      <c r="F269" s="8">
        <v>19.079999999999998</v>
      </c>
      <c r="G269" s="8">
        <v>46.9</v>
      </c>
      <c r="H269" s="8">
        <v>8.9499999999999993</v>
      </c>
      <c r="I269" s="8">
        <v>2.29</v>
      </c>
      <c r="J269" s="8">
        <v>2.29</v>
      </c>
      <c r="K269" s="2" t="str">
        <f t="shared" si="16"/>
        <v>Actual</v>
      </c>
      <c r="L269" s="1">
        <f t="shared" si="17"/>
        <v>12.0020964360587</v>
      </c>
      <c r="M269" s="1">
        <f t="shared" si="18"/>
        <v>12.0020964360587</v>
      </c>
      <c r="N269" s="1" t="str">
        <f t="shared" si="19"/>
        <v>Manufacturer</v>
      </c>
    </row>
    <row r="270" spans="1:14">
      <c r="A270" s="8">
        <v>2023</v>
      </c>
      <c r="B270" s="8" t="s">
        <v>148</v>
      </c>
      <c r="C270" s="8" t="s">
        <v>149</v>
      </c>
      <c r="D270" s="8" t="s">
        <v>121</v>
      </c>
      <c r="E270" s="8" t="s">
        <v>150</v>
      </c>
      <c r="F270" s="8">
        <v>17.22</v>
      </c>
      <c r="G270" s="8">
        <v>48.4</v>
      </c>
      <c r="H270" s="8">
        <v>8.34</v>
      </c>
      <c r="I270" s="8">
        <v>2.0699999999999998</v>
      </c>
      <c r="J270" s="8">
        <v>2.0699999999999998</v>
      </c>
      <c r="K270" s="2" t="str">
        <f t="shared" si="16"/>
        <v>Actual</v>
      </c>
      <c r="L270" s="1">
        <f t="shared" si="17"/>
        <v>12.0209059233449</v>
      </c>
      <c r="M270" s="1">
        <f t="shared" si="18"/>
        <v>12.0209059233449</v>
      </c>
      <c r="N270" s="1" t="str">
        <f t="shared" si="19"/>
        <v>Manufacturer</v>
      </c>
    </row>
    <row r="271" spans="1:14">
      <c r="A271" s="8">
        <v>2024</v>
      </c>
      <c r="B271" s="8" t="s">
        <v>148</v>
      </c>
      <c r="C271" s="8" t="s">
        <v>149</v>
      </c>
      <c r="D271" s="8" t="s">
        <v>121</v>
      </c>
      <c r="E271" s="8" t="s">
        <v>150</v>
      </c>
      <c r="F271" s="8">
        <v>14.89</v>
      </c>
      <c r="G271" s="8">
        <v>42.6</v>
      </c>
      <c r="H271" s="8">
        <v>6.35</v>
      </c>
      <c r="I271" s="8">
        <v>1.79</v>
      </c>
      <c r="J271" s="8">
        <v>1.79</v>
      </c>
      <c r="K271" s="2" t="str">
        <f t="shared" si="16"/>
        <v>Actual</v>
      </c>
      <c r="L271" s="1">
        <f t="shared" si="17"/>
        <v>12.0214909335124</v>
      </c>
      <c r="M271" s="1">
        <f t="shared" si="18"/>
        <v>12.0214909335124</v>
      </c>
      <c r="N271" s="1" t="str">
        <f t="shared" si="19"/>
        <v>Manufacturer</v>
      </c>
    </row>
    <row r="272" spans="1:14">
      <c r="A272" s="8">
        <v>2025</v>
      </c>
      <c r="B272" s="8" t="s">
        <v>148</v>
      </c>
      <c r="C272" s="8" t="s">
        <v>149</v>
      </c>
      <c r="D272" s="8" t="s">
        <v>121</v>
      </c>
      <c r="E272" s="8" t="s">
        <v>150</v>
      </c>
      <c r="F272" s="8">
        <v>16.64</v>
      </c>
      <c r="G272" s="8">
        <v>42.5</v>
      </c>
      <c r="H272" s="8">
        <v>7.07</v>
      </c>
      <c r="I272" s="8">
        <v>2</v>
      </c>
      <c r="J272" s="8">
        <v>2</v>
      </c>
      <c r="K272" s="2" t="str">
        <f t="shared" si="16"/>
        <v>Forecast</v>
      </c>
      <c r="L272" s="1">
        <f t="shared" si="17"/>
        <v>12.0192307692308</v>
      </c>
      <c r="M272" s="1">
        <f t="shared" si="18"/>
        <v>12.0192307692308</v>
      </c>
      <c r="N272" s="1" t="str">
        <f t="shared" si="19"/>
        <v>Manufacturer</v>
      </c>
    </row>
    <row r="273" spans="1:14">
      <c r="A273" s="8">
        <v>2026</v>
      </c>
      <c r="B273" s="8" t="s">
        <v>148</v>
      </c>
      <c r="C273" s="8" t="s">
        <v>149</v>
      </c>
      <c r="D273" s="8" t="s">
        <v>121</v>
      </c>
      <c r="E273" s="8" t="s">
        <v>150</v>
      </c>
      <c r="F273" s="8">
        <v>19.14</v>
      </c>
      <c r="G273" s="8">
        <v>44.5</v>
      </c>
      <c r="H273" s="8">
        <v>8.51</v>
      </c>
      <c r="I273" s="8">
        <v>2.2999999999999998</v>
      </c>
      <c r="J273" s="8">
        <v>2.2999999999999998</v>
      </c>
      <c r="K273" s="2" t="str">
        <f t="shared" si="16"/>
        <v>Forecast</v>
      </c>
      <c r="L273" s="1">
        <f t="shared" si="17"/>
        <v>12.0167189132706</v>
      </c>
      <c r="M273" s="1">
        <f t="shared" si="18"/>
        <v>12.0167189132706</v>
      </c>
      <c r="N273" s="1" t="str">
        <f t="shared" si="19"/>
        <v>Manufacturer</v>
      </c>
    </row>
    <row r="274" spans="1:14">
      <c r="A274" s="8">
        <v>2010</v>
      </c>
      <c r="B274" s="8" t="s">
        <v>151</v>
      </c>
      <c r="C274" s="8" t="s">
        <v>152</v>
      </c>
      <c r="D274" s="8" t="s">
        <v>121</v>
      </c>
      <c r="E274" s="8" t="s">
        <v>150</v>
      </c>
      <c r="F274" s="8">
        <v>2.88</v>
      </c>
      <c r="G274" s="8">
        <v>44.5</v>
      </c>
      <c r="H274" s="8">
        <v>1.28</v>
      </c>
      <c r="I274" s="8">
        <v>0.35</v>
      </c>
      <c r="J274" s="8">
        <v>0.35</v>
      </c>
      <c r="K274" s="2" t="str">
        <f t="shared" si="16"/>
        <v>Actual</v>
      </c>
      <c r="L274" s="1">
        <f t="shared" si="17"/>
        <v>12.1527777777778</v>
      </c>
      <c r="M274" s="1">
        <f t="shared" si="18"/>
        <v>12.1527777777778</v>
      </c>
      <c r="N274" s="1" t="str">
        <f t="shared" si="19"/>
        <v>Manufacturer</v>
      </c>
    </row>
    <row r="275" spans="1:14">
      <c r="A275" s="8">
        <v>2011</v>
      </c>
      <c r="B275" s="8" t="s">
        <v>151</v>
      </c>
      <c r="C275" s="8" t="s">
        <v>152</v>
      </c>
      <c r="D275" s="8" t="s">
        <v>121</v>
      </c>
      <c r="E275" s="8" t="s">
        <v>150</v>
      </c>
      <c r="F275" s="8">
        <v>3.02</v>
      </c>
      <c r="G275" s="8">
        <v>42</v>
      </c>
      <c r="H275" s="8">
        <v>1.27</v>
      </c>
      <c r="I275" s="8">
        <v>0.36</v>
      </c>
      <c r="J275" s="8">
        <v>0.36</v>
      </c>
      <c r="K275" s="2" t="str">
        <f t="shared" si="16"/>
        <v>Actual</v>
      </c>
      <c r="L275" s="1">
        <f t="shared" si="17"/>
        <v>11.9205298013245</v>
      </c>
      <c r="M275" s="1">
        <f t="shared" si="18"/>
        <v>11.9205298013245</v>
      </c>
      <c r="N275" s="1" t="str">
        <f t="shared" si="19"/>
        <v>Manufacturer</v>
      </c>
    </row>
    <row r="276" spans="1:14">
      <c r="A276" s="8">
        <v>2012</v>
      </c>
      <c r="B276" s="8" t="s">
        <v>151</v>
      </c>
      <c r="C276" s="8" t="s">
        <v>152</v>
      </c>
      <c r="D276" s="8" t="s">
        <v>121</v>
      </c>
      <c r="E276" s="8" t="s">
        <v>150</v>
      </c>
      <c r="F276" s="8">
        <v>3.17</v>
      </c>
      <c r="G276" s="8">
        <v>47</v>
      </c>
      <c r="H276" s="8">
        <v>1.49</v>
      </c>
      <c r="I276" s="8">
        <v>0.38</v>
      </c>
      <c r="J276" s="8">
        <v>0.38</v>
      </c>
      <c r="K276" s="2" t="str">
        <f t="shared" si="16"/>
        <v>Actual</v>
      </c>
      <c r="L276" s="1">
        <f t="shared" si="17"/>
        <v>11.98738170347</v>
      </c>
      <c r="M276" s="1">
        <f t="shared" si="18"/>
        <v>11.98738170347</v>
      </c>
      <c r="N276" s="1" t="str">
        <f t="shared" si="19"/>
        <v>Manufacturer</v>
      </c>
    </row>
    <row r="277" spans="1:14">
      <c r="A277" s="8">
        <v>2013</v>
      </c>
      <c r="B277" s="8" t="s">
        <v>151</v>
      </c>
      <c r="C277" s="8" t="s">
        <v>152</v>
      </c>
      <c r="D277" s="8" t="s">
        <v>121</v>
      </c>
      <c r="E277" s="8" t="s">
        <v>150</v>
      </c>
      <c r="F277" s="8">
        <v>3.24</v>
      </c>
      <c r="G277" s="8">
        <v>46.7</v>
      </c>
      <c r="H277" s="8">
        <v>1.51</v>
      </c>
      <c r="I277" s="8">
        <v>0.39</v>
      </c>
      <c r="J277" s="8">
        <v>0.39</v>
      </c>
      <c r="K277" s="2" t="str">
        <f t="shared" si="16"/>
        <v>Actual</v>
      </c>
      <c r="L277" s="1">
        <f t="shared" si="17"/>
        <v>12.037037037037001</v>
      </c>
      <c r="M277" s="1">
        <f t="shared" si="18"/>
        <v>12.037037037037001</v>
      </c>
      <c r="N277" s="1" t="str">
        <f t="shared" si="19"/>
        <v>Manufacturer</v>
      </c>
    </row>
    <row r="278" spans="1:14">
      <c r="A278" s="8">
        <v>2014</v>
      </c>
      <c r="B278" s="8" t="s">
        <v>151</v>
      </c>
      <c r="C278" s="8" t="s">
        <v>152</v>
      </c>
      <c r="D278" s="8" t="s">
        <v>121</v>
      </c>
      <c r="E278" s="8" t="s">
        <v>150</v>
      </c>
      <c r="F278" s="8">
        <v>3.33</v>
      </c>
      <c r="G278" s="8">
        <v>51.1</v>
      </c>
      <c r="H278" s="8">
        <v>1.7</v>
      </c>
      <c r="I278" s="8">
        <v>0.4</v>
      </c>
      <c r="J278" s="8">
        <v>0.4</v>
      </c>
      <c r="K278" s="2" t="str">
        <f t="shared" si="16"/>
        <v>Actual</v>
      </c>
      <c r="L278" s="1">
        <f t="shared" si="17"/>
        <v>12.012012012012001</v>
      </c>
      <c r="M278" s="1">
        <f t="shared" si="18"/>
        <v>12.012012012012001</v>
      </c>
      <c r="N278" s="1" t="str">
        <f t="shared" si="19"/>
        <v>Manufacturer</v>
      </c>
    </row>
    <row r="279" spans="1:14">
      <c r="A279" s="8">
        <v>2015</v>
      </c>
      <c r="B279" s="8" t="s">
        <v>151</v>
      </c>
      <c r="C279" s="8" t="s">
        <v>152</v>
      </c>
      <c r="D279" s="8" t="s">
        <v>121</v>
      </c>
      <c r="E279" s="8" t="s">
        <v>150</v>
      </c>
      <c r="F279" s="8">
        <v>3.39</v>
      </c>
      <c r="G279" s="8">
        <v>44.1</v>
      </c>
      <c r="H279" s="8">
        <v>1.49</v>
      </c>
      <c r="I279" s="8">
        <v>0.41</v>
      </c>
      <c r="J279" s="8">
        <v>0.41</v>
      </c>
      <c r="K279" s="2" t="str">
        <f t="shared" si="16"/>
        <v>Actual</v>
      </c>
      <c r="L279" s="1">
        <f t="shared" si="17"/>
        <v>12.094395280236</v>
      </c>
      <c r="M279" s="1">
        <f t="shared" si="18"/>
        <v>12.094395280236</v>
      </c>
      <c r="N279" s="1" t="str">
        <f t="shared" si="19"/>
        <v>Manufacturer</v>
      </c>
    </row>
    <row r="280" spans="1:14">
      <c r="A280" s="8">
        <v>2016</v>
      </c>
      <c r="B280" s="8" t="s">
        <v>151</v>
      </c>
      <c r="C280" s="8" t="s">
        <v>152</v>
      </c>
      <c r="D280" s="8" t="s">
        <v>121</v>
      </c>
      <c r="E280" s="8" t="s">
        <v>150</v>
      </c>
      <c r="F280" s="8">
        <v>4.24</v>
      </c>
      <c r="G280" s="8">
        <v>41.9</v>
      </c>
      <c r="H280" s="8">
        <v>1.78</v>
      </c>
      <c r="I280" s="8">
        <v>0.51</v>
      </c>
      <c r="J280" s="8">
        <v>0.51</v>
      </c>
      <c r="K280" s="2" t="str">
        <f t="shared" si="16"/>
        <v>Actual</v>
      </c>
      <c r="L280" s="1">
        <f t="shared" si="17"/>
        <v>12.0283018867925</v>
      </c>
      <c r="M280" s="1">
        <f t="shared" si="18"/>
        <v>12.0283018867925</v>
      </c>
      <c r="N280" s="1" t="str">
        <f t="shared" si="19"/>
        <v>Manufacturer</v>
      </c>
    </row>
    <row r="281" spans="1:14">
      <c r="A281" s="8">
        <v>2017</v>
      </c>
      <c r="B281" s="8" t="s">
        <v>151</v>
      </c>
      <c r="C281" s="8" t="s">
        <v>152</v>
      </c>
      <c r="D281" s="8" t="s">
        <v>121</v>
      </c>
      <c r="E281" s="8" t="s">
        <v>150</v>
      </c>
      <c r="F281" s="8">
        <v>5.07</v>
      </c>
      <c r="G281" s="8">
        <v>42.3</v>
      </c>
      <c r="H281" s="8">
        <v>2.15</v>
      </c>
      <c r="I281" s="8">
        <v>0.61</v>
      </c>
      <c r="J281" s="8">
        <v>0.61</v>
      </c>
      <c r="K281" s="2" t="str">
        <f t="shared" si="16"/>
        <v>Actual</v>
      </c>
      <c r="L281" s="1">
        <f t="shared" si="17"/>
        <v>12.0315581854043</v>
      </c>
      <c r="M281" s="1">
        <f t="shared" si="18"/>
        <v>12.0315581854043</v>
      </c>
      <c r="N281" s="1" t="str">
        <f t="shared" si="19"/>
        <v>Manufacturer</v>
      </c>
    </row>
    <row r="282" spans="1:14">
      <c r="A282" s="8">
        <v>2018</v>
      </c>
      <c r="B282" s="8" t="s">
        <v>151</v>
      </c>
      <c r="C282" s="8" t="s">
        <v>152</v>
      </c>
      <c r="D282" s="8" t="s">
        <v>121</v>
      </c>
      <c r="E282" s="8" t="s">
        <v>150</v>
      </c>
      <c r="F282" s="8">
        <v>6.19</v>
      </c>
      <c r="G282" s="8">
        <v>46</v>
      </c>
      <c r="H282" s="8">
        <v>2.85</v>
      </c>
      <c r="I282" s="8">
        <v>0.74</v>
      </c>
      <c r="J282" s="8">
        <v>0.74</v>
      </c>
      <c r="K282" s="2" t="str">
        <f t="shared" si="16"/>
        <v>Actual</v>
      </c>
      <c r="L282" s="1">
        <f t="shared" si="17"/>
        <v>11.9547657512116</v>
      </c>
      <c r="M282" s="1">
        <f t="shared" si="18"/>
        <v>11.9547657512116</v>
      </c>
      <c r="N282" s="1" t="str">
        <f t="shared" si="19"/>
        <v>Manufacturer</v>
      </c>
    </row>
    <row r="283" spans="1:14">
      <c r="A283" s="8">
        <v>2019</v>
      </c>
      <c r="B283" s="8" t="s">
        <v>151</v>
      </c>
      <c r="C283" s="8" t="s">
        <v>152</v>
      </c>
      <c r="D283" s="8" t="s">
        <v>121</v>
      </c>
      <c r="E283" s="8" t="s">
        <v>150</v>
      </c>
      <c r="F283" s="8">
        <v>5.91</v>
      </c>
      <c r="G283" s="8">
        <v>42.7</v>
      </c>
      <c r="H283" s="8">
        <v>2.52</v>
      </c>
      <c r="I283" s="8">
        <v>0.71</v>
      </c>
      <c r="J283" s="8">
        <v>0.71</v>
      </c>
      <c r="K283" s="2" t="str">
        <f t="shared" si="16"/>
        <v>Actual</v>
      </c>
      <c r="L283" s="1">
        <f t="shared" si="17"/>
        <v>12.0135363790186</v>
      </c>
      <c r="M283" s="1">
        <f t="shared" si="18"/>
        <v>12.0135363790186</v>
      </c>
      <c r="N283" s="1" t="str">
        <f t="shared" si="19"/>
        <v>Manufacturer</v>
      </c>
    </row>
    <row r="284" spans="1:14">
      <c r="A284" s="8">
        <v>2020</v>
      </c>
      <c r="B284" s="8" t="s">
        <v>151</v>
      </c>
      <c r="C284" s="8" t="s">
        <v>152</v>
      </c>
      <c r="D284" s="8" t="s">
        <v>121</v>
      </c>
      <c r="E284" s="8" t="s">
        <v>150</v>
      </c>
      <c r="F284" s="8">
        <v>5.75</v>
      </c>
      <c r="G284" s="8">
        <v>47.2</v>
      </c>
      <c r="H284" s="8">
        <v>2.72</v>
      </c>
      <c r="I284" s="8">
        <v>0.69</v>
      </c>
      <c r="J284" s="8">
        <v>0.69</v>
      </c>
      <c r="K284" s="2" t="str">
        <f t="shared" si="16"/>
        <v>Actual</v>
      </c>
      <c r="L284" s="1">
        <f t="shared" si="17"/>
        <v>12</v>
      </c>
      <c r="M284" s="1">
        <f t="shared" si="18"/>
        <v>12</v>
      </c>
      <c r="N284" s="1" t="str">
        <f t="shared" si="19"/>
        <v>Manufacturer</v>
      </c>
    </row>
    <row r="285" spans="1:14">
      <c r="A285" s="8">
        <v>2021</v>
      </c>
      <c r="B285" s="8" t="s">
        <v>151</v>
      </c>
      <c r="C285" s="8" t="s">
        <v>152</v>
      </c>
      <c r="D285" s="8" t="s">
        <v>121</v>
      </c>
      <c r="E285" s="8" t="s">
        <v>150</v>
      </c>
      <c r="F285" s="8">
        <v>8.76</v>
      </c>
      <c r="G285" s="8">
        <v>43</v>
      </c>
      <c r="H285" s="8">
        <v>3.77</v>
      </c>
      <c r="I285" s="8">
        <v>1.05</v>
      </c>
      <c r="J285" s="8">
        <v>1.05</v>
      </c>
      <c r="K285" s="2" t="str">
        <f t="shared" si="16"/>
        <v>Actual</v>
      </c>
      <c r="L285" s="1">
        <f t="shared" si="17"/>
        <v>11.986301369863</v>
      </c>
      <c r="M285" s="1">
        <f t="shared" si="18"/>
        <v>11.986301369863</v>
      </c>
      <c r="N285" s="1" t="str">
        <f t="shared" si="19"/>
        <v>Manufacturer</v>
      </c>
    </row>
    <row r="286" spans="1:14">
      <c r="A286" s="8">
        <v>2022</v>
      </c>
      <c r="B286" s="8" t="s">
        <v>151</v>
      </c>
      <c r="C286" s="8" t="s">
        <v>152</v>
      </c>
      <c r="D286" s="8" t="s">
        <v>121</v>
      </c>
      <c r="E286" s="8" t="s">
        <v>150</v>
      </c>
      <c r="F286" s="8">
        <v>12.2</v>
      </c>
      <c r="G286" s="8">
        <v>45.6</v>
      </c>
      <c r="H286" s="8">
        <v>5.56</v>
      </c>
      <c r="I286" s="8">
        <v>1.46</v>
      </c>
      <c r="J286" s="8">
        <v>1.46</v>
      </c>
      <c r="K286" s="2" t="str">
        <f t="shared" si="16"/>
        <v>Actual</v>
      </c>
      <c r="L286" s="1">
        <f t="shared" si="17"/>
        <v>11.967213114754101</v>
      </c>
      <c r="M286" s="1">
        <f t="shared" si="18"/>
        <v>11.967213114754101</v>
      </c>
      <c r="N286" s="1" t="str">
        <f t="shared" si="19"/>
        <v>Manufacturer</v>
      </c>
    </row>
    <row r="287" spans="1:14">
      <c r="A287" s="8">
        <v>2023</v>
      </c>
      <c r="B287" s="8" t="s">
        <v>151</v>
      </c>
      <c r="C287" s="8" t="s">
        <v>152</v>
      </c>
      <c r="D287" s="8" t="s">
        <v>121</v>
      </c>
      <c r="E287" s="8" t="s">
        <v>150</v>
      </c>
      <c r="F287" s="8">
        <v>11.78</v>
      </c>
      <c r="G287" s="8">
        <v>44.8</v>
      </c>
      <c r="H287" s="8">
        <v>5.28</v>
      </c>
      <c r="I287" s="8">
        <v>1.41</v>
      </c>
      <c r="J287" s="8">
        <v>1.41</v>
      </c>
      <c r="K287" s="2" t="str">
        <f t="shared" si="16"/>
        <v>Actual</v>
      </c>
      <c r="L287" s="1">
        <f t="shared" si="17"/>
        <v>11.9694397283531</v>
      </c>
      <c r="M287" s="1">
        <f t="shared" si="18"/>
        <v>11.9694397283531</v>
      </c>
      <c r="N287" s="1" t="str">
        <f t="shared" si="19"/>
        <v>Manufacturer</v>
      </c>
    </row>
    <row r="288" spans="1:14">
      <c r="A288" s="8">
        <v>2024</v>
      </c>
      <c r="B288" s="8" t="s">
        <v>151</v>
      </c>
      <c r="C288" s="8" t="s">
        <v>152</v>
      </c>
      <c r="D288" s="8" t="s">
        <v>121</v>
      </c>
      <c r="E288" s="8" t="s">
        <v>150</v>
      </c>
      <c r="F288" s="8">
        <v>9.4700000000000006</v>
      </c>
      <c r="G288" s="8">
        <v>42.3</v>
      </c>
      <c r="H288" s="8">
        <v>4.01</v>
      </c>
      <c r="I288" s="8">
        <v>1.1399999999999999</v>
      </c>
      <c r="J288" s="8">
        <v>1.1399999999999999</v>
      </c>
      <c r="K288" s="2" t="str">
        <f t="shared" si="16"/>
        <v>Actual</v>
      </c>
      <c r="L288" s="1">
        <f t="shared" si="17"/>
        <v>12.038014783526901</v>
      </c>
      <c r="M288" s="1">
        <f t="shared" si="18"/>
        <v>12.038014783526901</v>
      </c>
      <c r="N288" s="1" t="str">
        <f t="shared" si="19"/>
        <v>Manufacturer</v>
      </c>
    </row>
    <row r="289" spans="1:14">
      <c r="A289" s="8">
        <v>2025</v>
      </c>
      <c r="B289" s="8" t="s">
        <v>151</v>
      </c>
      <c r="C289" s="8" t="s">
        <v>152</v>
      </c>
      <c r="D289" s="8" t="s">
        <v>121</v>
      </c>
      <c r="E289" s="8" t="s">
        <v>150</v>
      </c>
      <c r="F289" s="8">
        <v>11.01</v>
      </c>
      <c r="G289" s="8">
        <v>40.6</v>
      </c>
      <c r="H289" s="8">
        <v>4.4800000000000004</v>
      </c>
      <c r="I289" s="8">
        <v>1.32</v>
      </c>
      <c r="J289" s="8">
        <v>1.32</v>
      </c>
      <c r="K289" s="2" t="str">
        <f t="shared" si="16"/>
        <v>Forecast</v>
      </c>
      <c r="L289" s="1">
        <f t="shared" si="17"/>
        <v>11.9891008174387</v>
      </c>
      <c r="M289" s="1">
        <f t="shared" si="18"/>
        <v>11.9891008174387</v>
      </c>
      <c r="N289" s="1" t="str">
        <f t="shared" si="19"/>
        <v>Manufacturer</v>
      </c>
    </row>
    <row r="290" spans="1:14">
      <c r="A290" s="8">
        <v>2026</v>
      </c>
      <c r="B290" s="8" t="s">
        <v>151</v>
      </c>
      <c r="C290" s="8" t="s">
        <v>152</v>
      </c>
      <c r="D290" s="8" t="s">
        <v>121</v>
      </c>
      <c r="E290" s="8" t="s">
        <v>150</v>
      </c>
      <c r="F290" s="8">
        <v>13.01</v>
      </c>
      <c r="G290" s="8">
        <v>48.7</v>
      </c>
      <c r="H290" s="8">
        <v>6.34</v>
      </c>
      <c r="I290" s="8">
        <v>1.56</v>
      </c>
      <c r="J290" s="8">
        <v>1.56</v>
      </c>
      <c r="K290" s="2" t="str">
        <f t="shared" si="16"/>
        <v>Forecast</v>
      </c>
      <c r="L290" s="1">
        <f t="shared" si="17"/>
        <v>11.9907763259032</v>
      </c>
      <c r="M290" s="1">
        <f t="shared" si="18"/>
        <v>11.9907763259032</v>
      </c>
      <c r="N290" s="1" t="str">
        <f t="shared" si="19"/>
        <v>Manufacturer</v>
      </c>
    </row>
    <row r="291" spans="1:14">
      <c r="A291" s="8">
        <v>2010</v>
      </c>
      <c r="B291" s="8" t="s">
        <v>153</v>
      </c>
      <c r="C291" s="8" t="s">
        <v>154</v>
      </c>
      <c r="D291" s="8" t="s">
        <v>155</v>
      </c>
      <c r="E291" s="8" t="s">
        <v>156</v>
      </c>
      <c r="F291" s="8">
        <v>4.57</v>
      </c>
      <c r="G291" s="8">
        <v>21.1</v>
      </c>
      <c r="H291" s="8">
        <v>0.96</v>
      </c>
      <c r="I291" s="8">
        <v>0.55000000000000004</v>
      </c>
      <c r="J291" s="8">
        <v>0.68</v>
      </c>
      <c r="K291" s="2" t="str">
        <f t="shared" si="16"/>
        <v>Actual</v>
      </c>
      <c r="L291" s="1">
        <f t="shared" si="17"/>
        <v>12.035010940918999</v>
      </c>
      <c r="M291" s="1">
        <f t="shared" si="18"/>
        <v>14.8796498905908</v>
      </c>
      <c r="N291" s="1" t="str">
        <f t="shared" si="19"/>
        <v>Manufacturer</v>
      </c>
    </row>
    <row r="292" spans="1:14">
      <c r="A292" s="8">
        <v>2011</v>
      </c>
      <c r="B292" s="8" t="s">
        <v>153</v>
      </c>
      <c r="C292" s="8" t="s">
        <v>154</v>
      </c>
      <c r="D292" s="8" t="s">
        <v>155</v>
      </c>
      <c r="E292" s="8" t="s">
        <v>156</v>
      </c>
      <c r="F292" s="8">
        <v>4.54</v>
      </c>
      <c r="G292" s="8">
        <v>16.5</v>
      </c>
      <c r="H292" s="8">
        <v>0.75</v>
      </c>
      <c r="I292" s="8">
        <v>0.54</v>
      </c>
      <c r="J292" s="8">
        <v>0.68</v>
      </c>
      <c r="K292" s="2" t="str">
        <f t="shared" si="16"/>
        <v>Actual</v>
      </c>
      <c r="L292" s="1">
        <f t="shared" si="17"/>
        <v>11.8942731277533</v>
      </c>
      <c r="M292" s="1">
        <f t="shared" si="18"/>
        <v>14.9779735682819</v>
      </c>
      <c r="N292" s="1" t="str">
        <f t="shared" si="19"/>
        <v>Manufacturer</v>
      </c>
    </row>
    <row r="293" spans="1:14">
      <c r="A293" s="8">
        <v>2012</v>
      </c>
      <c r="B293" s="8" t="s">
        <v>153</v>
      </c>
      <c r="C293" s="8" t="s">
        <v>154</v>
      </c>
      <c r="D293" s="8" t="s">
        <v>155</v>
      </c>
      <c r="E293" s="8" t="s">
        <v>156</v>
      </c>
      <c r="F293" s="8">
        <v>5.1100000000000003</v>
      </c>
      <c r="G293" s="8">
        <v>16.8</v>
      </c>
      <c r="H293" s="8">
        <v>0.86</v>
      </c>
      <c r="I293" s="8">
        <v>0.61</v>
      </c>
      <c r="J293" s="8">
        <v>0.77</v>
      </c>
      <c r="K293" s="2" t="str">
        <f t="shared" si="16"/>
        <v>Actual</v>
      </c>
      <c r="L293" s="1">
        <f t="shared" si="17"/>
        <v>11.9373776908023</v>
      </c>
      <c r="M293" s="1">
        <f t="shared" si="18"/>
        <v>15.068493150684899</v>
      </c>
      <c r="N293" s="1" t="str">
        <f t="shared" si="19"/>
        <v>Manufacturer</v>
      </c>
    </row>
    <row r="294" spans="1:14">
      <c r="A294" s="8">
        <v>2013</v>
      </c>
      <c r="B294" s="8" t="s">
        <v>153</v>
      </c>
      <c r="C294" s="8" t="s">
        <v>154</v>
      </c>
      <c r="D294" s="8" t="s">
        <v>155</v>
      </c>
      <c r="E294" s="8" t="s">
        <v>156</v>
      </c>
      <c r="F294" s="8">
        <v>5.56</v>
      </c>
      <c r="G294" s="8">
        <v>26</v>
      </c>
      <c r="H294" s="8">
        <v>1.44</v>
      </c>
      <c r="I294" s="8">
        <v>0.67</v>
      </c>
      <c r="J294" s="8">
        <v>0.83</v>
      </c>
      <c r="K294" s="2" t="str">
        <f t="shared" si="16"/>
        <v>Actual</v>
      </c>
      <c r="L294" s="1">
        <f t="shared" si="17"/>
        <v>12.0503597122302</v>
      </c>
      <c r="M294" s="1">
        <f t="shared" si="18"/>
        <v>14.928057553956799</v>
      </c>
      <c r="N294" s="1" t="str">
        <f t="shared" si="19"/>
        <v>Manufacturer</v>
      </c>
    </row>
    <row r="295" spans="1:14">
      <c r="A295" s="8">
        <v>2014</v>
      </c>
      <c r="B295" s="8" t="s">
        <v>153</v>
      </c>
      <c r="C295" s="8" t="s">
        <v>154</v>
      </c>
      <c r="D295" s="8" t="s">
        <v>155</v>
      </c>
      <c r="E295" s="8" t="s">
        <v>156</v>
      </c>
      <c r="F295" s="8">
        <v>5.52</v>
      </c>
      <c r="G295" s="8">
        <v>17.5</v>
      </c>
      <c r="H295" s="8">
        <v>0.97</v>
      </c>
      <c r="I295" s="8">
        <v>0.66</v>
      </c>
      <c r="J295" s="8">
        <v>0.83</v>
      </c>
      <c r="K295" s="2" t="str">
        <f t="shared" si="16"/>
        <v>Actual</v>
      </c>
      <c r="L295" s="1">
        <f t="shared" si="17"/>
        <v>11.9565217391304</v>
      </c>
      <c r="M295" s="1">
        <f t="shared" si="18"/>
        <v>15.036231884057999</v>
      </c>
      <c r="N295" s="1" t="str">
        <f t="shared" si="19"/>
        <v>Manufacturer</v>
      </c>
    </row>
    <row r="296" spans="1:14">
      <c r="A296" s="8">
        <v>2015</v>
      </c>
      <c r="B296" s="8" t="s">
        <v>153</v>
      </c>
      <c r="C296" s="8" t="s">
        <v>154</v>
      </c>
      <c r="D296" s="8" t="s">
        <v>155</v>
      </c>
      <c r="E296" s="8" t="s">
        <v>156</v>
      </c>
      <c r="F296" s="8">
        <v>6.04</v>
      </c>
      <c r="G296" s="8">
        <v>24.8</v>
      </c>
      <c r="H296" s="8">
        <v>1.5</v>
      </c>
      <c r="I296" s="8">
        <v>0.73</v>
      </c>
      <c r="J296" s="8">
        <v>0.91</v>
      </c>
      <c r="K296" s="2" t="str">
        <f t="shared" si="16"/>
        <v>Actual</v>
      </c>
      <c r="L296" s="1">
        <f t="shared" si="17"/>
        <v>12.0860927152318</v>
      </c>
      <c r="M296" s="1">
        <f t="shared" si="18"/>
        <v>15.0662251655629</v>
      </c>
      <c r="N296" s="1" t="str">
        <f t="shared" si="19"/>
        <v>Manufacturer</v>
      </c>
    </row>
    <row r="297" spans="1:14">
      <c r="A297" s="8">
        <v>2016</v>
      </c>
      <c r="B297" s="8" t="s">
        <v>153</v>
      </c>
      <c r="C297" s="8" t="s">
        <v>154</v>
      </c>
      <c r="D297" s="8" t="s">
        <v>155</v>
      </c>
      <c r="E297" s="8" t="s">
        <v>156</v>
      </c>
      <c r="F297" s="8">
        <v>6.56</v>
      </c>
      <c r="G297" s="8">
        <v>20.7</v>
      </c>
      <c r="H297" s="8">
        <v>1.36</v>
      </c>
      <c r="I297" s="8">
        <v>0.79</v>
      </c>
      <c r="J297" s="8">
        <v>0.98</v>
      </c>
      <c r="K297" s="2" t="str">
        <f t="shared" si="16"/>
        <v>Actual</v>
      </c>
      <c r="L297" s="1">
        <f t="shared" si="17"/>
        <v>12.042682926829301</v>
      </c>
      <c r="M297" s="1">
        <f t="shared" si="18"/>
        <v>14.939024390243899</v>
      </c>
      <c r="N297" s="1" t="str">
        <f t="shared" si="19"/>
        <v>Manufacturer</v>
      </c>
    </row>
    <row r="298" spans="1:14">
      <c r="A298" s="8">
        <v>2017</v>
      </c>
      <c r="B298" s="8" t="s">
        <v>153</v>
      </c>
      <c r="C298" s="8" t="s">
        <v>154</v>
      </c>
      <c r="D298" s="8" t="s">
        <v>155</v>
      </c>
      <c r="E298" s="8" t="s">
        <v>156</v>
      </c>
      <c r="F298" s="8">
        <v>8.0299999999999994</v>
      </c>
      <c r="G298" s="8">
        <v>15</v>
      </c>
      <c r="H298" s="8">
        <v>1.21</v>
      </c>
      <c r="I298" s="8">
        <v>0.96</v>
      </c>
      <c r="J298" s="8">
        <v>1.2</v>
      </c>
      <c r="K298" s="2" t="str">
        <f t="shared" si="16"/>
        <v>Actual</v>
      </c>
      <c r="L298" s="1">
        <f t="shared" si="17"/>
        <v>11.955168119551701</v>
      </c>
      <c r="M298" s="1">
        <f t="shared" si="18"/>
        <v>14.943960149439601</v>
      </c>
      <c r="N298" s="1" t="str">
        <f t="shared" si="19"/>
        <v>Manufacturer</v>
      </c>
    </row>
    <row r="299" spans="1:14">
      <c r="A299" s="8">
        <v>2018</v>
      </c>
      <c r="B299" s="8" t="s">
        <v>153</v>
      </c>
      <c r="C299" s="8" t="s">
        <v>154</v>
      </c>
      <c r="D299" s="8" t="s">
        <v>155</v>
      </c>
      <c r="E299" s="8" t="s">
        <v>156</v>
      </c>
      <c r="F299" s="8">
        <v>8.08</v>
      </c>
      <c r="G299" s="8">
        <v>18.7</v>
      </c>
      <c r="H299" s="8">
        <v>1.51</v>
      </c>
      <c r="I299" s="8">
        <v>0.97</v>
      </c>
      <c r="J299" s="8">
        <v>1.21</v>
      </c>
      <c r="K299" s="2" t="str">
        <f t="shared" si="16"/>
        <v>Actual</v>
      </c>
      <c r="L299" s="1">
        <f t="shared" si="17"/>
        <v>12.004950495049499</v>
      </c>
      <c r="M299" s="1">
        <f t="shared" si="18"/>
        <v>14.975247524752501</v>
      </c>
      <c r="N299" s="1" t="str">
        <f t="shared" si="19"/>
        <v>Manufacturer</v>
      </c>
    </row>
    <row r="300" spans="1:14">
      <c r="A300" s="8">
        <v>2019</v>
      </c>
      <c r="B300" s="8" t="s">
        <v>153</v>
      </c>
      <c r="C300" s="8" t="s">
        <v>154</v>
      </c>
      <c r="D300" s="8" t="s">
        <v>155</v>
      </c>
      <c r="E300" s="8" t="s">
        <v>156</v>
      </c>
      <c r="F300" s="8">
        <v>8.57</v>
      </c>
      <c r="G300" s="8">
        <v>22.4</v>
      </c>
      <c r="H300" s="8">
        <v>1.92</v>
      </c>
      <c r="I300" s="8">
        <v>1.03</v>
      </c>
      <c r="J300" s="8">
        <v>1.28</v>
      </c>
      <c r="K300" s="2" t="str">
        <f t="shared" si="16"/>
        <v>Actual</v>
      </c>
      <c r="L300" s="1">
        <f t="shared" si="17"/>
        <v>12.018669778296401</v>
      </c>
      <c r="M300" s="1">
        <f t="shared" si="18"/>
        <v>14.935822637106201</v>
      </c>
      <c r="N300" s="1" t="str">
        <f t="shared" si="19"/>
        <v>Manufacturer</v>
      </c>
    </row>
    <row r="301" spans="1:14">
      <c r="A301" s="8">
        <v>2020</v>
      </c>
      <c r="B301" s="8" t="s">
        <v>153</v>
      </c>
      <c r="C301" s="8" t="s">
        <v>154</v>
      </c>
      <c r="D301" s="8" t="s">
        <v>155</v>
      </c>
      <c r="E301" s="8" t="s">
        <v>156</v>
      </c>
      <c r="F301" s="8">
        <v>9.07</v>
      </c>
      <c r="G301" s="8">
        <v>14.7</v>
      </c>
      <c r="H301" s="8">
        <v>1.33</v>
      </c>
      <c r="I301" s="8">
        <v>1.0900000000000001</v>
      </c>
      <c r="J301" s="8">
        <v>1.36</v>
      </c>
      <c r="K301" s="2" t="str">
        <f t="shared" si="16"/>
        <v>Actual</v>
      </c>
      <c r="L301" s="1">
        <f t="shared" si="17"/>
        <v>12.0176405733186</v>
      </c>
      <c r="M301" s="1">
        <f t="shared" si="18"/>
        <v>14.9944873208379</v>
      </c>
      <c r="N301" s="1" t="str">
        <f t="shared" si="19"/>
        <v>Manufacturer</v>
      </c>
    </row>
    <row r="302" spans="1:14">
      <c r="A302" s="8">
        <v>2021</v>
      </c>
      <c r="B302" s="8" t="s">
        <v>153</v>
      </c>
      <c r="C302" s="8" t="s">
        <v>154</v>
      </c>
      <c r="D302" s="8" t="s">
        <v>155</v>
      </c>
      <c r="E302" s="8" t="s">
        <v>156</v>
      </c>
      <c r="F302" s="8">
        <v>11.78</v>
      </c>
      <c r="G302" s="8">
        <v>18.3</v>
      </c>
      <c r="H302" s="8">
        <v>2.15</v>
      </c>
      <c r="I302" s="8">
        <v>1.41</v>
      </c>
      <c r="J302" s="8">
        <v>1.77</v>
      </c>
      <c r="K302" s="2" t="str">
        <f t="shared" si="16"/>
        <v>Actual</v>
      </c>
      <c r="L302" s="1">
        <f t="shared" si="17"/>
        <v>11.9694397283531</v>
      </c>
      <c r="M302" s="1">
        <f t="shared" si="18"/>
        <v>15.025466893039001</v>
      </c>
      <c r="N302" s="1" t="str">
        <f t="shared" si="19"/>
        <v>Manufacturer</v>
      </c>
    </row>
    <row r="303" spans="1:14">
      <c r="A303" s="8">
        <v>2022</v>
      </c>
      <c r="B303" s="8" t="s">
        <v>153</v>
      </c>
      <c r="C303" s="8" t="s">
        <v>154</v>
      </c>
      <c r="D303" s="8" t="s">
        <v>155</v>
      </c>
      <c r="E303" s="8" t="s">
        <v>156</v>
      </c>
      <c r="F303" s="8">
        <v>14.75</v>
      </c>
      <c r="G303" s="8">
        <v>18.100000000000001</v>
      </c>
      <c r="H303" s="8">
        <v>2.67</v>
      </c>
      <c r="I303" s="8">
        <v>1.77</v>
      </c>
      <c r="J303" s="8">
        <v>2.21</v>
      </c>
      <c r="K303" s="2" t="str">
        <f t="shared" si="16"/>
        <v>Actual</v>
      </c>
      <c r="L303" s="1">
        <f t="shared" si="17"/>
        <v>12</v>
      </c>
      <c r="M303" s="1">
        <f t="shared" si="18"/>
        <v>14.9830508474576</v>
      </c>
      <c r="N303" s="1" t="str">
        <f t="shared" si="19"/>
        <v>Manufacturer</v>
      </c>
    </row>
    <row r="304" spans="1:14">
      <c r="A304" s="8">
        <v>2023</v>
      </c>
      <c r="B304" s="8" t="s">
        <v>153</v>
      </c>
      <c r="C304" s="8" t="s">
        <v>154</v>
      </c>
      <c r="D304" s="8" t="s">
        <v>155</v>
      </c>
      <c r="E304" s="8" t="s">
        <v>156</v>
      </c>
      <c r="F304" s="8">
        <v>16.68</v>
      </c>
      <c r="G304" s="8">
        <v>11.6</v>
      </c>
      <c r="H304" s="8">
        <v>1.94</v>
      </c>
      <c r="I304" s="8">
        <v>2</v>
      </c>
      <c r="J304" s="8">
        <v>2.5</v>
      </c>
      <c r="K304" s="2" t="str">
        <f t="shared" si="16"/>
        <v>Actual</v>
      </c>
      <c r="L304" s="1">
        <f t="shared" si="17"/>
        <v>11.990407673860901</v>
      </c>
      <c r="M304" s="1">
        <f t="shared" si="18"/>
        <v>14.988009592326099</v>
      </c>
      <c r="N304" s="1" t="str">
        <f t="shared" si="19"/>
        <v>Manufacturer</v>
      </c>
    </row>
    <row r="305" spans="1:14">
      <c r="A305" s="8">
        <v>2024</v>
      </c>
      <c r="B305" s="8" t="s">
        <v>153</v>
      </c>
      <c r="C305" s="8" t="s">
        <v>154</v>
      </c>
      <c r="D305" s="8" t="s">
        <v>155</v>
      </c>
      <c r="E305" s="8" t="s">
        <v>156</v>
      </c>
      <c r="F305" s="8">
        <v>15.35</v>
      </c>
      <c r="G305" s="8">
        <v>21.3</v>
      </c>
      <c r="H305" s="8">
        <v>3.28</v>
      </c>
      <c r="I305" s="8">
        <v>1.84</v>
      </c>
      <c r="J305" s="8">
        <v>2.2999999999999998</v>
      </c>
      <c r="K305" s="2" t="str">
        <f t="shared" si="16"/>
        <v>Actual</v>
      </c>
      <c r="L305" s="1">
        <f t="shared" si="17"/>
        <v>11.9869706840391</v>
      </c>
      <c r="M305" s="1">
        <f t="shared" si="18"/>
        <v>14.9837133550489</v>
      </c>
      <c r="N305" s="1" t="str">
        <f t="shared" si="19"/>
        <v>Manufacturer</v>
      </c>
    </row>
    <row r="306" spans="1:14">
      <c r="A306" s="8">
        <v>2025</v>
      </c>
      <c r="B306" s="8" t="s">
        <v>153</v>
      </c>
      <c r="C306" s="8" t="s">
        <v>154</v>
      </c>
      <c r="D306" s="8" t="s">
        <v>155</v>
      </c>
      <c r="E306" s="8" t="s">
        <v>156</v>
      </c>
      <c r="F306" s="8">
        <v>15.69</v>
      </c>
      <c r="G306" s="8">
        <v>21.6</v>
      </c>
      <c r="H306" s="8">
        <v>3.39</v>
      </c>
      <c r="I306" s="8">
        <v>1.88</v>
      </c>
      <c r="J306" s="8">
        <v>2.35</v>
      </c>
      <c r="K306" s="2" t="str">
        <f t="shared" si="16"/>
        <v>Forecast</v>
      </c>
      <c r="L306" s="1">
        <f t="shared" si="17"/>
        <v>11.9821542383684</v>
      </c>
      <c r="M306" s="1">
        <f t="shared" si="18"/>
        <v>14.977692797960501</v>
      </c>
      <c r="N306" s="1" t="str">
        <f t="shared" si="19"/>
        <v>Manufacturer</v>
      </c>
    </row>
    <row r="307" spans="1:14">
      <c r="A307" s="8">
        <v>2026</v>
      </c>
      <c r="B307" s="8" t="s">
        <v>153</v>
      </c>
      <c r="C307" s="8" t="s">
        <v>154</v>
      </c>
      <c r="D307" s="8" t="s">
        <v>155</v>
      </c>
      <c r="E307" s="8" t="s">
        <v>156</v>
      </c>
      <c r="F307" s="8">
        <v>17.45</v>
      </c>
      <c r="G307" s="8">
        <v>20.7</v>
      </c>
      <c r="H307" s="8">
        <v>3.61</v>
      </c>
      <c r="I307" s="8">
        <v>2.09</v>
      </c>
      <c r="J307" s="8">
        <v>2.62</v>
      </c>
      <c r="K307" s="2" t="str">
        <f t="shared" si="16"/>
        <v>Forecast</v>
      </c>
      <c r="L307" s="1">
        <f t="shared" si="17"/>
        <v>11.9770773638968</v>
      </c>
      <c r="M307" s="1">
        <f t="shared" si="18"/>
        <v>15.0143266475645</v>
      </c>
      <c r="N307" s="1" t="str">
        <f t="shared" si="19"/>
        <v>Manufacturer</v>
      </c>
    </row>
    <row r="308" spans="1:14">
      <c r="A308" s="8">
        <v>2010</v>
      </c>
      <c r="B308" s="8" t="s">
        <v>157</v>
      </c>
      <c r="C308" s="8" t="s">
        <v>158</v>
      </c>
      <c r="D308" s="8" t="s">
        <v>159</v>
      </c>
      <c r="E308" s="8" t="s">
        <v>160</v>
      </c>
      <c r="F308" s="8">
        <v>9.8699999999999992</v>
      </c>
      <c r="G308" s="8">
        <v>21.3</v>
      </c>
      <c r="H308" s="8">
        <v>2.11</v>
      </c>
      <c r="I308" s="8">
        <v>1.18</v>
      </c>
      <c r="J308" s="8">
        <v>0.99</v>
      </c>
      <c r="K308" s="2" t="str">
        <f t="shared" si="16"/>
        <v>Actual</v>
      </c>
      <c r="L308" s="1">
        <f t="shared" si="17"/>
        <v>11.955420466058801</v>
      </c>
      <c r="M308" s="1">
        <f t="shared" si="18"/>
        <v>10.0303951367781</v>
      </c>
      <c r="N308" s="1" t="str">
        <f t="shared" si="19"/>
        <v>Manufacturer</v>
      </c>
    </row>
    <row r="309" spans="1:14">
      <c r="A309" s="8">
        <v>2011</v>
      </c>
      <c r="B309" s="8" t="s">
        <v>157</v>
      </c>
      <c r="C309" s="8" t="s">
        <v>158</v>
      </c>
      <c r="D309" s="8" t="s">
        <v>159</v>
      </c>
      <c r="E309" s="8" t="s">
        <v>160</v>
      </c>
      <c r="F309" s="8">
        <v>9.41</v>
      </c>
      <c r="G309" s="8">
        <v>16.2</v>
      </c>
      <c r="H309" s="8">
        <v>1.52</v>
      </c>
      <c r="I309" s="8">
        <v>1.1299999999999999</v>
      </c>
      <c r="J309" s="8">
        <v>0.94</v>
      </c>
      <c r="K309" s="2" t="str">
        <f t="shared" si="16"/>
        <v>Actual</v>
      </c>
      <c r="L309" s="1">
        <f t="shared" si="17"/>
        <v>12.0085015940489</v>
      </c>
      <c r="M309" s="1">
        <f t="shared" si="18"/>
        <v>9.9893730074388891</v>
      </c>
      <c r="N309" s="1" t="str">
        <f t="shared" si="19"/>
        <v>Manufacturer</v>
      </c>
    </row>
    <row r="310" spans="1:14">
      <c r="A310" s="8">
        <v>2012</v>
      </c>
      <c r="B310" s="8" t="s">
        <v>157</v>
      </c>
      <c r="C310" s="8" t="s">
        <v>158</v>
      </c>
      <c r="D310" s="8" t="s">
        <v>159</v>
      </c>
      <c r="E310" s="8" t="s">
        <v>160</v>
      </c>
      <c r="F310" s="8">
        <v>9.17</v>
      </c>
      <c r="G310" s="8">
        <v>20.7</v>
      </c>
      <c r="H310" s="8">
        <v>1.9</v>
      </c>
      <c r="I310" s="8">
        <v>1.1000000000000001</v>
      </c>
      <c r="J310" s="8">
        <v>0.92</v>
      </c>
      <c r="K310" s="2" t="str">
        <f t="shared" si="16"/>
        <v>Actual</v>
      </c>
      <c r="L310" s="1">
        <f t="shared" si="17"/>
        <v>11.9956379498364</v>
      </c>
      <c r="M310" s="1">
        <f t="shared" si="18"/>
        <v>10.0327153762268</v>
      </c>
      <c r="N310" s="1" t="str">
        <f t="shared" si="19"/>
        <v>Manufacturer</v>
      </c>
    </row>
    <row r="311" spans="1:14">
      <c r="A311" s="8">
        <v>2013</v>
      </c>
      <c r="B311" s="8" t="s">
        <v>157</v>
      </c>
      <c r="C311" s="8" t="s">
        <v>158</v>
      </c>
      <c r="D311" s="8" t="s">
        <v>159</v>
      </c>
      <c r="E311" s="8" t="s">
        <v>160</v>
      </c>
      <c r="F311" s="8">
        <v>8.17</v>
      </c>
      <c r="G311" s="8">
        <v>24.4</v>
      </c>
      <c r="H311" s="8">
        <v>1.99</v>
      </c>
      <c r="I311" s="8">
        <v>0.98</v>
      </c>
      <c r="J311" s="8">
        <v>0.82</v>
      </c>
      <c r="K311" s="2" t="str">
        <f t="shared" si="16"/>
        <v>Actual</v>
      </c>
      <c r="L311" s="1">
        <f t="shared" si="17"/>
        <v>11.9951040391677</v>
      </c>
      <c r="M311" s="1">
        <f t="shared" si="18"/>
        <v>10.0367197062423</v>
      </c>
      <c r="N311" s="1" t="str">
        <f t="shared" si="19"/>
        <v>Manufacturer</v>
      </c>
    </row>
    <row r="312" spans="1:14">
      <c r="A312" s="8">
        <v>2014</v>
      </c>
      <c r="B312" s="8" t="s">
        <v>157</v>
      </c>
      <c r="C312" s="8" t="s">
        <v>158</v>
      </c>
      <c r="D312" s="8" t="s">
        <v>159</v>
      </c>
      <c r="E312" s="8" t="s">
        <v>160</v>
      </c>
      <c r="F312" s="8">
        <v>7.56</v>
      </c>
      <c r="G312" s="8">
        <v>20.100000000000001</v>
      </c>
      <c r="H312" s="8">
        <v>1.52</v>
      </c>
      <c r="I312" s="8">
        <v>0.91</v>
      </c>
      <c r="J312" s="8">
        <v>0.76</v>
      </c>
      <c r="K312" s="2" t="str">
        <f t="shared" si="16"/>
        <v>Actual</v>
      </c>
      <c r="L312" s="1">
        <f t="shared" si="17"/>
        <v>12.037037037037001</v>
      </c>
      <c r="M312" s="1">
        <f t="shared" si="18"/>
        <v>10.0529100529101</v>
      </c>
      <c r="N312" s="1" t="str">
        <f t="shared" si="19"/>
        <v>Manufacturer</v>
      </c>
    </row>
    <row r="313" spans="1:14">
      <c r="A313" s="8">
        <v>2015</v>
      </c>
      <c r="B313" s="8" t="s">
        <v>157</v>
      </c>
      <c r="C313" s="8" t="s">
        <v>158</v>
      </c>
      <c r="D313" s="8" t="s">
        <v>159</v>
      </c>
      <c r="E313" s="8" t="s">
        <v>160</v>
      </c>
      <c r="F313" s="8">
        <v>7.06</v>
      </c>
      <c r="G313" s="8">
        <v>18.100000000000001</v>
      </c>
      <c r="H313" s="8">
        <v>1.28</v>
      </c>
      <c r="I313" s="8">
        <v>0.85</v>
      </c>
      <c r="J313" s="8">
        <v>0.71</v>
      </c>
      <c r="K313" s="2" t="str">
        <f t="shared" si="16"/>
        <v>Actual</v>
      </c>
      <c r="L313" s="1">
        <f t="shared" si="17"/>
        <v>12.039660056657199</v>
      </c>
      <c r="M313" s="1">
        <f t="shared" si="18"/>
        <v>10.056657223796</v>
      </c>
      <c r="N313" s="1" t="str">
        <f t="shared" si="19"/>
        <v>Manufacturer</v>
      </c>
    </row>
    <row r="314" spans="1:14">
      <c r="A314" s="8">
        <v>2016</v>
      </c>
      <c r="B314" s="8" t="s">
        <v>157</v>
      </c>
      <c r="C314" s="8" t="s">
        <v>158</v>
      </c>
      <c r="D314" s="8" t="s">
        <v>159</v>
      </c>
      <c r="E314" s="8" t="s">
        <v>160</v>
      </c>
      <c r="F314" s="8">
        <v>7.98</v>
      </c>
      <c r="G314" s="8">
        <v>18.399999999999999</v>
      </c>
      <c r="H314" s="8">
        <v>1.47</v>
      </c>
      <c r="I314" s="8">
        <v>0.96</v>
      </c>
      <c r="J314" s="8">
        <v>0.8</v>
      </c>
      <c r="K314" s="2" t="str">
        <f t="shared" si="16"/>
        <v>Actual</v>
      </c>
      <c r="L314" s="1">
        <f t="shared" si="17"/>
        <v>12.030075187969899</v>
      </c>
      <c r="M314" s="1">
        <f t="shared" si="18"/>
        <v>10.0250626566416</v>
      </c>
      <c r="N314" s="1" t="str">
        <f t="shared" si="19"/>
        <v>Manufacturer</v>
      </c>
    </row>
    <row r="315" spans="1:14">
      <c r="A315" s="8">
        <v>2017</v>
      </c>
      <c r="B315" s="8" t="s">
        <v>157</v>
      </c>
      <c r="C315" s="8" t="s">
        <v>158</v>
      </c>
      <c r="D315" s="8" t="s">
        <v>159</v>
      </c>
      <c r="E315" s="8" t="s">
        <v>160</v>
      </c>
      <c r="F315" s="8">
        <v>8.6300000000000008</v>
      </c>
      <c r="G315" s="8">
        <v>24.1</v>
      </c>
      <c r="H315" s="8">
        <v>2.08</v>
      </c>
      <c r="I315" s="8">
        <v>1.04</v>
      </c>
      <c r="J315" s="8">
        <v>0.86</v>
      </c>
      <c r="K315" s="2" t="str">
        <f t="shared" si="16"/>
        <v>Actual</v>
      </c>
      <c r="L315" s="1">
        <f t="shared" si="17"/>
        <v>12.050984936268801</v>
      </c>
      <c r="M315" s="1">
        <f t="shared" si="18"/>
        <v>9.9652375434530693</v>
      </c>
      <c r="N315" s="1" t="str">
        <f t="shared" si="19"/>
        <v>Manufacturer</v>
      </c>
    </row>
    <row r="316" spans="1:14">
      <c r="A316" s="8">
        <v>2018</v>
      </c>
      <c r="B316" s="8" t="s">
        <v>157</v>
      </c>
      <c r="C316" s="8" t="s">
        <v>158</v>
      </c>
      <c r="D316" s="8" t="s">
        <v>159</v>
      </c>
      <c r="E316" s="8" t="s">
        <v>160</v>
      </c>
      <c r="F316" s="8">
        <v>9.3000000000000007</v>
      </c>
      <c r="G316" s="8">
        <v>12.8</v>
      </c>
      <c r="H316" s="8">
        <v>1.19</v>
      </c>
      <c r="I316" s="8">
        <v>1.1200000000000001</v>
      </c>
      <c r="J316" s="8">
        <v>0.93</v>
      </c>
      <c r="K316" s="2" t="str">
        <f t="shared" si="16"/>
        <v>Actual</v>
      </c>
      <c r="L316" s="1">
        <f t="shared" si="17"/>
        <v>12.0430107526882</v>
      </c>
      <c r="M316" s="1">
        <f t="shared" si="18"/>
        <v>10</v>
      </c>
      <c r="N316" s="1" t="str">
        <f t="shared" si="19"/>
        <v>Manufacturer</v>
      </c>
    </row>
    <row r="317" spans="1:14">
      <c r="A317" s="8">
        <v>2019</v>
      </c>
      <c r="B317" s="8" t="s">
        <v>157</v>
      </c>
      <c r="C317" s="8" t="s">
        <v>158</v>
      </c>
      <c r="D317" s="8" t="s">
        <v>159</v>
      </c>
      <c r="E317" s="8" t="s">
        <v>160</v>
      </c>
      <c r="F317" s="8">
        <v>10.39</v>
      </c>
      <c r="G317" s="8">
        <v>27.6</v>
      </c>
      <c r="H317" s="8">
        <v>2.87</v>
      </c>
      <c r="I317" s="8">
        <v>1.25</v>
      </c>
      <c r="J317" s="8">
        <v>1.04</v>
      </c>
      <c r="K317" s="2" t="str">
        <f t="shared" si="16"/>
        <v>Actual</v>
      </c>
      <c r="L317" s="1">
        <f t="shared" si="17"/>
        <v>12.0307988450433</v>
      </c>
      <c r="M317" s="1">
        <f t="shared" si="18"/>
        <v>10.009624639076</v>
      </c>
      <c r="N317" s="1" t="str">
        <f t="shared" si="19"/>
        <v>Manufacturer</v>
      </c>
    </row>
    <row r="318" spans="1:14">
      <c r="A318" s="8">
        <v>2020</v>
      </c>
      <c r="B318" s="8" t="s">
        <v>157</v>
      </c>
      <c r="C318" s="8" t="s">
        <v>158</v>
      </c>
      <c r="D318" s="8" t="s">
        <v>159</v>
      </c>
      <c r="E318" s="8" t="s">
        <v>160</v>
      </c>
      <c r="F318" s="8">
        <v>10.08</v>
      </c>
      <c r="G318" s="8">
        <v>14.2</v>
      </c>
      <c r="H318" s="8">
        <v>1.43</v>
      </c>
      <c r="I318" s="8">
        <v>1.21</v>
      </c>
      <c r="J318" s="8">
        <v>1.01</v>
      </c>
      <c r="K318" s="2" t="str">
        <f t="shared" si="16"/>
        <v>Actual</v>
      </c>
      <c r="L318" s="1">
        <f t="shared" si="17"/>
        <v>12.003968253968299</v>
      </c>
      <c r="M318" s="1">
        <f t="shared" si="18"/>
        <v>10.019841269841301</v>
      </c>
      <c r="N318" s="1" t="str">
        <f t="shared" si="19"/>
        <v>Manufacturer</v>
      </c>
    </row>
    <row r="319" spans="1:14">
      <c r="A319" s="8">
        <v>2021</v>
      </c>
      <c r="B319" s="8" t="s">
        <v>157</v>
      </c>
      <c r="C319" s="8" t="s">
        <v>158</v>
      </c>
      <c r="D319" s="8" t="s">
        <v>159</v>
      </c>
      <c r="E319" s="8" t="s">
        <v>160</v>
      </c>
      <c r="F319" s="8">
        <v>13.03</v>
      </c>
      <c r="G319" s="8">
        <v>19.100000000000001</v>
      </c>
      <c r="H319" s="8">
        <v>2.4900000000000002</v>
      </c>
      <c r="I319" s="8">
        <v>1.56</v>
      </c>
      <c r="J319" s="8">
        <v>1.3</v>
      </c>
      <c r="K319" s="2" t="str">
        <f t="shared" si="16"/>
        <v>Actual</v>
      </c>
      <c r="L319" s="1">
        <f t="shared" si="17"/>
        <v>11.9723714504988</v>
      </c>
      <c r="M319" s="1">
        <f t="shared" si="18"/>
        <v>9.9769762087490399</v>
      </c>
      <c r="N319" s="1" t="str">
        <f t="shared" si="19"/>
        <v>Manufacturer</v>
      </c>
    </row>
    <row r="320" spans="1:14">
      <c r="A320" s="8">
        <v>2022</v>
      </c>
      <c r="B320" s="8" t="s">
        <v>157</v>
      </c>
      <c r="C320" s="8" t="s">
        <v>158</v>
      </c>
      <c r="D320" s="8" t="s">
        <v>159</v>
      </c>
      <c r="E320" s="8" t="s">
        <v>160</v>
      </c>
      <c r="F320" s="8">
        <v>16.010000000000002</v>
      </c>
      <c r="G320" s="8">
        <v>16.7</v>
      </c>
      <c r="H320" s="8">
        <v>2.67</v>
      </c>
      <c r="I320" s="8">
        <v>1.92</v>
      </c>
      <c r="J320" s="8">
        <v>1.6</v>
      </c>
      <c r="K320" s="2" t="str">
        <f t="shared" si="16"/>
        <v>Actual</v>
      </c>
      <c r="L320" s="1">
        <f t="shared" si="17"/>
        <v>11.992504684572101</v>
      </c>
      <c r="M320" s="1">
        <f t="shared" si="18"/>
        <v>9.99375390381012</v>
      </c>
      <c r="N320" s="1" t="str">
        <f t="shared" si="19"/>
        <v>Manufacturer</v>
      </c>
    </row>
    <row r="321" spans="1:14">
      <c r="A321" s="8">
        <v>2023</v>
      </c>
      <c r="B321" s="8" t="s">
        <v>157</v>
      </c>
      <c r="C321" s="8" t="s">
        <v>158</v>
      </c>
      <c r="D321" s="8" t="s">
        <v>159</v>
      </c>
      <c r="E321" s="8" t="s">
        <v>160</v>
      </c>
      <c r="F321" s="8">
        <v>17.600000000000001</v>
      </c>
      <c r="G321" s="8">
        <v>21.6</v>
      </c>
      <c r="H321" s="8">
        <v>3.8</v>
      </c>
      <c r="I321" s="8">
        <v>2.11</v>
      </c>
      <c r="J321" s="8">
        <v>1.76</v>
      </c>
      <c r="K321" s="2" t="str">
        <f t="shared" si="16"/>
        <v>Actual</v>
      </c>
      <c r="L321" s="1">
        <f t="shared" si="17"/>
        <v>11.988636363636401</v>
      </c>
      <c r="M321" s="1">
        <f t="shared" si="18"/>
        <v>10</v>
      </c>
      <c r="N321" s="1" t="str">
        <f t="shared" si="19"/>
        <v>Manufacturer</v>
      </c>
    </row>
    <row r="322" spans="1:14">
      <c r="A322" s="8">
        <v>2024</v>
      </c>
      <c r="B322" s="8" t="s">
        <v>157</v>
      </c>
      <c r="C322" s="8" t="s">
        <v>158</v>
      </c>
      <c r="D322" s="8" t="s">
        <v>159</v>
      </c>
      <c r="E322" s="8" t="s">
        <v>160</v>
      </c>
      <c r="F322" s="8">
        <v>12.72</v>
      </c>
      <c r="G322" s="8">
        <v>22.1</v>
      </c>
      <c r="H322" s="8">
        <v>2.81</v>
      </c>
      <c r="I322" s="8">
        <v>1.53</v>
      </c>
      <c r="J322" s="8">
        <v>1.27</v>
      </c>
      <c r="K322" s="2" t="str">
        <f t="shared" si="16"/>
        <v>Actual</v>
      </c>
      <c r="L322" s="1">
        <f t="shared" si="17"/>
        <v>12.0283018867925</v>
      </c>
      <c r="M322" s="1">
        <f t="shared" si="18"/>
        <v>9.9842767295597508</v>
      </c>
      <c r="N322" s="1" t="str">
        <f t="shared" si="19"/>
        <v>Manufacturer</v>
      </c>
    </row>
    <row r="323" spans="1:14">
      <c r="A323" s="8">
        <v>2025</v>
      </c>
      <c r="B323" s="8" t="s">
        <v>157</v>
      </c>
      <c r="C323" s="8" t="s">
        <v>158</v>
      </c>
      <c r="D323" s="8" t="s">
        <v>159</v>
      </c>
      <c r="E323" s="8" t="s">
        <v>160</v>
      </c>
      <c r="F323" s="8">
        <v>15.85</v>
      </c>
      <c r="G323" s="8">
        <v>20.5</v>
      </c>
      <c r="H323" s="8">
        <v>3.25</v>
      </c>
      <c r="I323" s="8">
        <v>1.9</v>
      </c>
      <c r="J323" s="8">
        <v>1.58</v>
      </c>
      <c r="K323" s="2" t="str">
        <f t="shared" ref="K323:K386" si="20">IF(A323&gt;=2025,"Forecast","Actual")</f>
        <v>Forecast</v>
      </c>
      <c r="L323" s="1">
        <f t="shared" ref="L323:L386" si="21">IF(F323=0,0,I323/F323*100)</f>
        <v>11.98738170347</v>
      </c>
      <c r="M323" s="1">
        <f t="shared" ref="M323:M386" si="22">IF(F323=0,0,J323/F323*100)</f>
        <v>9.9684542586750808</v>
      </c>
      <c r="N323" s="1" t="str">
        <f t="shared" ref="N323:N386" si="23">IF(LEFT(E323,7)="fabless","Fabless",IF(LEFT(E323,9)="equipment","Equipment",IF(E323="foundry","Manufacturer",IF(LEFT(E323,3)="idm","Manufacturer",IF(E323="eda_software","EDA Software","Other")))))</f>
        <v>Manufacturer</v>
      </c>
    </row>
    <row r="324" spans="1:14">
      <c r="A324" s="8">
        <v>2026</v>
      </c>
      <c r="B324" s="8" t="s">
        <v>157</v>
      </c>
      <c r="C324" s="8" t="s">
        <v>158</v>
      </c>
      <c r="D324" s="8" t="s">
        <v>159</v>
      </c>
      <c r="E324" s="8" t="s">
        <v>160</v>
      </c>
      <c r="F324" s="8">
        <v>16.329999999999998</v>
      </c>
      <c r="G324" s="8">
        <v>19.600000000000001</v>
      </c>
      <c r="H324" s="8">
        <v>3.2</v>
      </c>
      <c r="I324" s="8">
        <v>1.96</v>
      </c>
      <c r="J324" s="8">
        <v>1.63</v>
      </c>
      <c r="K324" s="2" t="str">
        <f t="shared" si="20"/>
        <v>Forecast</v>
      </c>
      <c r="L324" s="1">
        <f t="shared" si="21"/>
        <v>12.0024494794856</v>
      </c>
      <c r="M324" s="1">
        <f t="shared" si="22"/>
        <v>9.9816289038579296</v>
      </c>
      <c r="N324" s="1" t="str">
        <f t="shared" si="23"/>
        <v>Manufacturer</v>
      </c>
    </row>
    <row r="325" spans="1:14">
      <c r="A325" s="8">
        <v>2010</v>
      </c>
      <c r="B325" s="8" t="s">
        <v>161</v>
      </c>
      <c r="C325" s="8" t="s">
        <v>162</v>
      </c>
      <c r="D325" s="8" t="s">
        <v>163</v>
      </c>
      <c r="E325" s="8" t="s">
        <v>156</v>
      </c>
      <c r="F325" s="8">
        <v>4.4800000000000004</v>
      </c>
      <c r="G325" s="8">
        <v>14.8</v>
      </c>
      <c r="H325" s="8">
        <v>0.66</v>
      </c>
      <c r="I325" s="8">
        <v>0.54</v>
      </c>
      <c r="J325" s="8">
        <v>0.67</v>
      </c>
      <c r="K325" s="2" t="str">
        <f t="shared" si="20"/>
        <v>Actual</v>
      </c>
      <c r="L325" s="1">
        <f t="shared" si="21"/>
        <v>12.0535714285714</v>
      </c>
      <c r="M325" s="1">
        <f t="shared" si="22"/>
        <v>14.9553571428571</v>
      </c>
      <c r="N325" s="1" t="str">
        <f t="shared" si="23"/>
        <v>Manufacturer</v>
      </c>
    </row>
    <row r="326" spans="1:14">
      <c r="A326" s="8">
        <v>2011</v>
      </c>
      <c r="B326" s="8" t="s">
        <v>161</v>
      </c>
      <c r="C326" s="8" t="s">
        <v>162</v>
      </c>
      <c r="D326" s="8" t="s">
        <v>163</v>
      </c>
      <c r="E326" s="8" t="s">
        <v>156</v>
      </c>
      <c r="F326" s="8">
        <v>4.76</v>
      </c>
      <c r="G326" s="8">
        <v>18.8</v>
      </c>
      <c r="H326" s="8">
        <v>0.9</v>
      </c>
      <c r="I326" s="8">
        <v>0.56999999999999995</v>
      </c>
      <c r="J326" s="8">
        <v>0.71</v>
      </c>
      <c r="K326" s="2" t="str">
        <f t="shared" si="20"/>
        <v>Actual</v>
      </c>
      <c r="L326" s="1">
        <f t="shared" si="21"/>
        <v>11.974789915966401</v>
      </c>
      <c r="M326" s="1">
        <f t="shared" si="22"/>
        <v>14.915966386554601</v>
      </c>
      <c r="N326" s="1" t="str">
        <f t="shared" si="23"/>
        <v>Manufacturer</v>
      </c>
    </row>
    <row r="327" spans="1:14">
      <c r="A327" s="8">
        <v>2012</v>
      </c>
      <c r="B327" s="8" t="s">
        <v>161</v>
      </c>
      <c r="C327" s="8" t="s">
        <v>162</v>
      </c>
      <c r="D327" s="8" t="s">
        <v>163</v>
      </c>
      <c r="E327" s="8" t="s">
        <v>156</v>
      </c>
      <c r="F327" s="8">
        <v>5.37</v>
      </c>
      <c r="G327" s="8">
        <v>19.5</v>
      </c>
      <c r="H327" s="8">
        <v>1.05</v>
      </c>
      <c r="I327" s="8">
        <v>0.64</v>
      </c>
      <c r="J327" s="8">
        <v>0.81</v>
      </c>
      <c r="K327" s="2" t="str">
        <f t="shared" si="20"/>
        <v>Actual</v>
      </c>
      <c r="L327" s="1">
        <f t="shared" si="21"/>
        <v>11.9180633147114</v>
      </c>
      <c r="M327" s="1">
        <f t="shared" si="22"/>
        <v>15.083798882681601</v>
      </c>
      <c r="N327" s="1" t="str">
        <f t="shared" si="23"/>
        <v>Manufacturer</v>
      </c>
    </row>
    <row r="328" spans="1:14">
      <c r="A328" s="8">
        <v>2013</v>
      </c>
      <c r="B328" s="8" t="s">
        <v>161</v>
      </c>
      <c r="C328" s="8" t="s">
        <v>162</v>
      </c>
      <c r="D328" s="8" t="s">
        <v>163</v>
      </c>
      <c r="E328" s="8" t="s">
        <v>156</v>
      </c>
      <c r="F328" s="8">
        <v>5.7</v>
      </c>
      <c r="G328" s="8">
        <v>16.7</v>
      </c>
      <c r="H328" s="8">
        <v>0.95</v>
      </c>
      <c r="I328" s="8">
        <v>0.68</v>
      </c>
      <c r="J328" s="8">
        <v>0.85</v>
      </c>
      <c r="K328" s="2" t="str">
        <f t="shared" si="20"/>
        <v>Actual</v>
      </c>
      <c r="L328" s="1">
        <f t="shared" si="21"/>
        <v>11.9298245614035</v>
      </c>
      <c r="M328" s="1">
        <f t="shared" si="22"/>
        <v>14.912280701754399</v>
      </c>
      <c r="N328" s="1" t="str">
        <f t="shared" si="23"/>
        <v>Manufacturer</v>
      </c>
    </row>
    <row r="329" spans="1:14">
      <c r="A329" s="8">
        <v>2014</v>
      </c>
      <c r="B329" s="8" t="s">
        <v>161</v>
      </c>
      <c r="C329" s="8" t="s">
        <v>162</v>
      </c>
      <c r="D329" s="8" t="s">
        <v>163</v>
      </c>
      <c r="E329" s="8" t="s">
        <v>156</v>
      </c>
      <c r="F329" s="8">
        <v>5.86</v>
      </c>
      <c r="G329" s="8">
        <v>21</v>
      </c>
      <c r="H329" s="8">
        <v>1.23</v>
      </c>
      <c r="I329" s="8">
        <v>0.7</v>
      </c>
      <c r="J329" s="8">
        <v>0.88</v>
      </c>
      <c r="K329" s="2" t="str">
        <f t="shared" si="20"/>
        <v>Actual</v>
      </c>
      <c r="L329" s="1">
        <f t="shared" si="21"/>
        <v>11.945392491467601</v>
      </c>
      <c r="M329" s="1">
        <f t="shared" si="22"/>
        <v>15.0170648464164</v>
      </c>
      <c r="N329" s="1" t="str">
        <f t="shared" si="23"/>
        <v>Manufacturer</v>
      </c>
    </row>
    <row r="330" spans="1:14">
      <c r="A330" s="8">
        <v>2015</v>
      </c>
      <c r="B330" s="8" t="s">
        <v>161</v>
      </c>
      <c r="C330" s="8" t="s">
        <v>162</v>
      </c>
      <c r="D330" s="8" t="s">
        <v>163</v>
      </c>
      <c r="E330" s="8" t="s">
        <v>156</v>
      </c>
      <c r="F330" s="8">
        <v>5.94</v>
      </c>
      <c r="G330" s="8">
        <v>20.5</v>
      </c>
      <c r="H330" s="8">
        <v>1.22</v>
      </c>
      <c r="I330" s="8">
        <v>0.71</v>
      </c>
      <c r="J330" s="8">
        <v>0.89</v>
      </c>
      <c r="K330" s="2" t="str">
        <f t="shared" si="20"/>
        <v>Actual</v>
      </c>
      <c r="L330" s="1">
        <f t="shared" si="21"/>
        <v>11.952861952861999</v>
      </c>
      <c r="M330" s="1">
        <f t="shared" si="22"/>
        <v>14.983164983165</v>
      </c>
      <c r="N330" s="1" t="str">
        <f t="shared" si="23"/>
        <v>Manufacturer</v>
      </c>
    </row>
    <row r="331" spans="1:14">
      <c r="A331" s="8">
        <v>2016</v>
      </c>
      <c r="B331" s="8" t="s">
        <v>161</v>
      </c>
      <c r="C331" s="8" t="s">
        <v>162</v>
      </c>
      <c r="D331" s="8" t="s">
        <v>163</v>
      </c>
      <c r="E331" s="8" t="s">
        <v>156</v>
      </c>
      <c r="F331" s="8">
        <v>7.47</v>
      </c>
      <c r="G331" s="8">
        <v>19</v>
      </c>
      <c r="H331" s="8">
        <v>1.42</v>
      </c>
      <c r="I331" s="8">
        <v>0.9</v>
      </c>
      <c r="J331" s="8">
        <v>1.1200000000000001</v>
      </c>
      <c r="K331" s="2" t="str">
        <f t="shared" si="20"/>
        <v>Actual</v>
      </c>
      <c r="L331" s="1">
        <f t="shared" si="21"/>
        <v>12.048192771084301</v>
      </c>
      <c r="M331" s="1">
        <f t="shared" si="22"/>
        <v>14.9933065595716</v>
      </c>
      <c r="N331" s="1" t="str">
        <f t="shared" si="23"/>
        <v>Manufacturer</v>
      </c>
    </row>
    <row r="332" spans="1:14">
      <c r="A332" s="8">
        <v>2017</v>
      </c>
      <c r="B332" s="8" t="s">
        <v>161</v>
      </c>
      <c r="C332" s="8" t="s">
        <v>162</v>
      </c>
      <c r="D332" s="8" t="s">
        <v>163</v>
      </c>
      <c r="E332" s="8" t="s">
        <v>156</v>
      </c>
      <c r="F332" s="8">
        <v>7.89</v>
      </c>
      <c r="G332" s="8">
        <v>19.899999999999999</v>
      </c>
      <c r="H332" s="8">
        <v>1.57</v>
      </c>
      <c r="I332" s="8">
        <v>0.95</v>
      </c>
      <c r="J332" s="8">
        <v>1.18</v>
      </c>
      <c r="K332" s="2" t="str">
        <f t="shared" si="20"/>
        <v>Actual</v>
      </c>
      <c r="L332" s="1">
        <f t="shared" si="21"/>
        <v>12.040557667934101</v>
      </c>
      <c r="M332" s="1">
        <f t="shared" si="22"/>
        <v>14.955640050697101</v>
      </c>
      <c r="N332" s="1" t="str">
        <f t="shared" si="23"/>
        <v>Manufacturer</v>
      </c>
    </row>
    <row r="333" spans="1:14">
      <c r="A333" s="8">
        <v>2018</v>
      </c>
      <c r="B333" s="8" t="s">
        <v>161</v>
      </c>
      <c r="C333" s="8" t="s">
        <v>162</v>
      </c>
      <c r="D333" s="8" t="s">
        <v>163</v>
      </c>
      <c r="E333" s="8" t="s">
        <v>156</v>
      </c>
      <c r="F333" s="8">
        <v>9.15</v>
      </c>
      <c r="G333" s="8">
        <v>19</v>
      </c>
      <c r="H333" s="8">
        <v>1.74</v>
      </c>
      <c r="I333" s="8">
        <v>1.1000000000000001</v>
      </c>
      <c r="J333" s="8">
        <v>1.37</v>
      </c>
      <c r="K333" s="2" t="str">
        <f t="shared" si="20"/>
        <v>Actual</v>
      </c>
      <c r="L333" s="1">
        <f t="shared" si="21"/>
        <v>12.021857923497301</v>
      </c>
      <c r="M333" s="1">
        <f t="shared" si="22"/>
        <v>14.972677595628401</v>
      </c>
      <c r="N333" s="1" t="str">
        <f t="shared" si="23"/>
        <v>Manufacturer</v>
      </c>
    </row>
    <row r="334" spans="1:14">
      <c r="A334" s="8">
        <v>2019</v>
      </c>
      <c r="B334" s="8" t="s">
        <v>161</v>
      </c>
      <c r="C334" s="8" t="s">
        <v>162</v>
      </c>
      <c r="D334" s="8" t="s">
        <v>163</v>
      </c>
      <c r="E334" s="8" t="s">
        <v>156</v>
      </c>
      <c r="F334" s="8">
        <v>8.98</v>
      </c>
      <c r="G334" s="8">
        <v>14.9</v>
      </c>
      <c r="H334" s="8">
        <v>1.34</v>
      </c>
      <c r="I334" s="8">
        <v>1.08</v>
      </c>
      <c r="J334" s="8">
        <v>1.35</v>
      </c>
      <c r="K334" s="2" t="str">
        <f t="shared" si="20"/>
        <v>Actual</v>
      </c>
      <c r="L334" s="1">
        <f t="shared" si="21"/>
        <v>12.026726057906499</v>
      </c>
      <c r="M334" s="1">
        <f t="shared" si="22"/>
        <v>15.0334075723831</v>
      </c>
      <c r="N334" s="1" t="str">
        <f t="shared" si="23"/>
        <v>Manufacturer</v>
      </c>
    </row>
    <row r="335" spans="1:14">
      <c r="A335" s="8">
        <v>2020</v>
      </c>
      <c r="B335" s="8" t="s">
        <v>161</v>
      </c>
      <c r="C335" s="8" t="s">
        <v>162</v>
      </c>
      <c r="D335" s="8" t="s">
        <v>163</v>
      </c>
      <c r="E335" s="8" t="s">
        <v>156</v>
      </c>
      <c r="F335" s="8">
        <v>8.19</v>
      </c>
      <c r="G335" s="8">
        <v>21.4</v>
      </c>
      <c r="H335" s="8">
        <v>1.76</v>
      </c>
      <c r="I335" s="8">
        <v>0.98</v>
      </c>
      <c r="J335" s="8">
        <v>1.23</v>
      </c>
      <c r="K335" s="2" t="str">
        <f t="shared" si="20"/>
        <v>Actual</v>
      </c>
      <c r="L335" s="1">
        <f t="shared" si="21"/>
        <v>11.965811965812</v>
      </c>
      <c r="M335" s="1">
        <f t="shared" si="22"/>
        <v>15.018315018315</v>
      </c>
      <c r="N335" s="1" t="str">
        <f t="shared" si="23"/>
        <v>Manufacturer</v>
      </c>
    </row>
    <row r="336" spans="1:14">
      <c r="A336" s="8">
        <v>2021</v>
      </c>
      <c r="B336" s="8" t="s">
        <v>161</v>
      </c>
      <c r="C336" s="8" t="s">
        <v>162</v>
      </c>
      <c r="D336" s="8" t="s">
        <v>163</v>
      </c>
      <c r="E336" s="8" t="s">
        <v>156</v>
      </c>
      <c r="F336" s="8">
        <v>10.73</v>
      </c>
      <c r="G336" s="8">
        <v>12.3</v>
      </c>
      <c r="H336" s="8">
        <v>1.32</v>
      </c>
      <c r="I336" s="8">
        <v>1.29</v>
      </c>
      <c r="J336" s="8">
        <v>1.61</v>
      </c>
      <c r="K336" s="2" t="str">
        <f t="shared" si="20"/>
        <v>Actual</v>
      </c>
      <c r="L336" s="1">
        <f t="shared" si="21"/>
        <v>12.022367194780999</v>
      </c>
      <c r="M336" s="1">
        <f t="shared" si="22"/>
        <v>15.004659832246</v>
      </c>
      <c r="N336" s="1" t="str">
        <f t="shared" si="23"/>
        <v>Manufacturer</v>
      </c>
    </row>
    <row r="337" spans="1:14">
      <c r="A337" s="8">
        <v>2022</v>
      </c>
      <c r="B337" s="8" t="s">
        <v>161</v>
      </c>
      <c r="C337" s="8" t="s">
        <v>162</v>
      </c>
      <c r="D337" s="8" t="s">
        <v>163</v>
      </c>
      <c r="E337" s="8" t="s">
        <v>156</v>
      </c>
      <c r="F337" s="8">
        <v>13.51</v>
      </c>
      <c r="G337" s="8">
        <v>20.8</v>
      </c>
      <c r="H337" s="8">
        <v>2.81</v>
      </c>
      <c r="I337" s="8">
        <v>1.62</v>
      </c>
      <c r="J337" s="8">
        <v>2.0299999999999998</v>
      </c>
      <c r="K337" s="2" t="str">
        <f t="shared" si="20"/>
        <v>Actual</v>
      </c>
      <c r="L337" s="1">
        <f t="shared" si="21"/>
        <v>11.9911176905996</v>
      </c>
      <c r="M337" s="1">
        <f t="shared" si="22"/>
        <v>15.025906735751301</v>
      </c>
      <c r="N337" s="1" t="str">
        <f t="shared" si="23"/>
        <v>Manufacturer</v>
      </c>
    </row>
    <row r="338" spans="1:14">
      <c r="A338" s="8">
        <v>2023</v>
      </c>
      <c r="B338" s="8" t="s">
        <v>161</v>
      </c>
      <c r="C338" s="8" t="s">
        <v>162</v>
      </c>
      <c r="D338" s="8" t="s">
        <v>163</v>
      </c>
      <c r="E338" s="8" t="s">
        <v>156</v>
      </c>
      <c r="F338" s="8">
        <v>13.02</v>
      </c>
      <c r="G338" s="8">
        <v>6</v>
      </c>
      <c r="H338" s="8">
        <v>0.79</v>
      </c>
      <c r="I338" s="8">
        <v>1.56</v>
      </c>
      <c r="J338" s="8">
        <v>1.95</v>
      </c>
      <c r="K338" s="2" t="str">
        <f t="shared" si="20"/>
        <v>Actual</v>
      </c>
      <c r="L338" s="1">
        <f t="shared" si="21"/>
        <v>11.9815668202765</v>
      </c>
      <c r="M338" s="1">
        <f t="shared" si="22"/>
        <v>14.9769585253456</v>
      </c>
      <c r="N338" s="1" t="str">
        <f t="shared" si="23"/>
        <v>Manufacturer</v>
      </c>
    </row>
    <row r="339" spans="1:14">
      <c r="A339" s="8">
        <v>2024</v>
      </c>
      <c r="B339" s="8" t="s">
        <v>161</v>
      </c>
      <c r="C339" s="8" t="s">
        <v>162</v>
      </c>
      <c r="D339" s="8" t="s">
        <v>163</v>
      </c>
      <c r="E339" s="8" t="s">
        <v>156</v>
      </c>
      <c r="F339" s="8">
        <v>12.92</v>
      </c>
      <c r="G339" s="8">
        <v>21</v>
      </c>
      <c r="H339" s="8">
        <v>2.72</v>
      </c>
      <c r="I339" s="8">
        <v>1.55</v>
      </c>
      <c r="J339" s="8">
        <v>1.94</v>
      </c>
      <c r="K339" s="2" t="str">
        <f t="shared" si="20"/>
        <v>Actual</v>
      </c>
      <c r="L339" s="1">
        <f t="shared" si="21"/>
        <v>11.996904024767799</v>
      </c>
      <c r="M339" s="1">
        <f t="shared" si="22"/>
        <v>15.015479876161001</v>
      </c>
      <c r="N339" s="1" t="str">
        <f t="shared" si="23"/>
        <v>Manufacturer</v>
      </c>
    </row>
    <row r="340" spans="1:14">
      <c r="A340" s="8">
        <v>2025</v>
      </c>
      <c r="B340" s="8" t="s">
        <v>161</v>
      </c>
      <c r="C340" s="8" t="s">
        <v>162</v>
      </c>
      <c r="D340" s="8" t="s">
        <v>163</v>
      </c>
      <c r="E340" s="8" t="s">
        <v>156</v>
      </c>
      <c r="F340" s="8">
        <v>15.09</v>
      </c>
      <c r="G340" s="8">
        <v>21.3</v>
      </c>
      <c r="H340" s="8">
        <v>3.21</v>
      </c>
      <c r="I340" s="8">
        <v>1.81</v>
      </c>
      <c r="J340" s="8">
        <v>2.2599999999999998</v>
      </c>
      <c r="K340" s="2" t="str">
        <f t="shared" si="20"/>
        <v>Forecast</v>
      </c>
      <c r="L340" s="1">
        <f t="shared" si="21"/>
        <v>11.9946984758118</v>
      </c>
      <c r="M340" s="1">
        <f t="shared" si="22"/>
        <v>14.9768058316766</v>
      </c>
      <c r="N340" s="1" t="str">
        <f t="shared" si="23"/>
        <v>Manufacturer</v>
      </c>
    </row>
    <row r="341" spans="1:14">
      <c r="A341" s="8">
        <v>2026</v>
      </c>
      <c r="B341" s="8" t="s">
        <v>161</v>
      </c>
      <c r="C341" s="8" t="s">
        <v>162</v>
      </c>
      <c r="D341" s="8" t="s">
        <v>163</v>
      </c>
      <c r="E341" s="8" t="s">
        <v>156</v>
      </c>
      <c r="F341" s="8">
        <v>15.68</v>
      </c>
      <c r="G341" s="8">
        <v>19.5</v>
      </c>
      <c r="H341" s="8">
        <v>3.06</v>
      </c>
      <c r="I341" s="8">
        <v>1.88</v>
      </c>
      <c r="J341" s="8">
        <v>2.35</v>
      </c>
      <c r="K341" s="2" t="str">
        <f t="shared" si="20"/>
        <v>Forecast</v>
      </c>
      <c r="L341" s="1">
        <f t="shared" si="21"/>
        <v>11.9897959183673</v>
      </c>
      <c r="M341" s="1">
        <f t="shared" si="22"/>
        <v>14.987244897959201</v>
      </c>
      <c r="N341" s="1" t="str">
        <f t="shared" si="23"/>
        <v>Manufacturer</v>
      </c>
    </row>
    <row r="342" spans="1:14">
      <c r="A342" s="8">
        <v>2010</v>
      </c>
      <c r="B342" s="8" t="s">
        <v>164</v>
      </c>
      <c r="C342" s="8">
        <v>6723</v>
      </c>
      <c r="D342" s="8" t="s">
        <v>165</v>
      </c>
      <c r="E342" s="8" t="s">
        <v>156</v>
      </c>
      <c r="F342" s="8">
        <v>12.3</v>
      </c>
      <c r="G342" s="8">
        <v>21.9</v>
      </c>
      <c r="H342" s="8">
        <v>2.69</v>
      </c>
      <c r="I342" s="8">
        <v>1.48</v>
      </c>
      <c r="J342" s="8">
        <v>1.84</v>
      </c>
      <c r="K342" s="2" t="str">
        <f t="shared" si="20"/>
        <v>Actual</v>
      </c>
      <c r="L342" s="1">
        <f t="shared" si="21"/>
        <v>12.032520325203301</v>
      </c>
      <c r="M342" s="1">
        <f t="shared" si="22"/>
        <v>14.959349593495901</v>
      </c>
      <c r="N342" s="1" t="str">
        <f t="shared" si="23"/>
        <v>Manufacturer</v>
      </c>
    </row>
    <row r="343" spans="1:14">
      <c r="A343" s="8">
        <v>2011</v>
      </c>
      <c r="B343" s="8" t="s">
        <v>164</v>
      </c>
      <c r="C343" s="8">
        <v>6723</v>
      </c>
      <c r="D343" s="8" t="s">
        <v>165</v>
      </c>
      <c r="E343" s="8" t="s">
        <v>156</v>
      </c>
      <c r="F343" s="8">
        <v>11.42</v>
      </c>
      <c r="G343" s="8">
        <v>18.399999999999999</v>
      </c>
      <c r="H343" s="8">
        <v>2.11</v>
      </c>
      <c r="I343" s="8">
        <v>1.37</v>
      </c>
      <c r="J343" s="8">
        <v>1.71</v>
      </c>
      <c r="K343" s="2" t="str">
        <f t="shared" si="20"/>
        <v>Actual</v>
      </c>
      <c r="L343" s="1">
        <f t="shared" si="21"/>
        <v>11.996497373029801</v>
      </c>
      <c r="M343" s="1">
        <f t="shared" si="22"/>
        <v>14.9737302977233</v>
      </c>
      <c r="N343" s="1" t="str">
        <f t="shared" si="23"/>
        <v>Manufacturer</v>
      </c>
    </row>
    <row r="344" spans="1:14">
      <c r="A344" s="8">
        <v>2012</v>
      </c>
      <c r="B344" s="8" t="s">
        <v>164</v>
      </c>
      <c r="C344" s="8">
        <v>6723</v>
      </c>
      <c r="D344" s="8" t="s">
        <v>165</v>
      </c>
      <c r="E344" s="8" t="s">
        <v>156</v>
      </c>
      <c r="F344" s="8">
        <v>9.8699999999999992</v>
      </c>
      <c r="G344" s="8">
        <v>18.600000000000001</v>
      </c>
      <c r="H344" s="8">
        <v>1.83</v>
      </c>
      <c r="I344" s="8">
        <v>1.18</v>
      </c>
      <c r="J344" s="8">
        <v>1.48</v>
      </c>
      <c r="K344" s="2" t="str">
        <f t="shared" si="20"/>
        <v>Actual</v>
      </c>
      <c r="L344" s="1">
        <f t="shared" si="21"/>
        <v>11.955420466058801</v>
      </c>
      <c r="M344" s="1">
        <f t="shared" si="22"/>
        <v>14.994934143870299</v>
      </c>
      <c r="N344" s="1" t="str">
        <f t="shared" si="23"/>
        <v>Manufacturer</v>
      </c>
    </row>
    <row r="345" spans="1:14">
      <c r="A345" s="8">
        <v>2013</v>
      </c>
      <c r="B345" s="8" t="s">
        <v>164</v>
      </c>
      <c r="C345" s="8">
        <v>6723</v>
      </c>
      <c r="D345" s="8" t="s">
        <v>165</v>
      </c>
      <c r="E345" s="8" t="s">
        <v>156</v>
      </c>
      <c r="F345" s="8">
        <v>9.2200000000000006</v>
      </c>
      <c r="G345" s="8">
        <v>24.5</v>
      </c>
      <c r="H345" s="8">
        <v>2.2599999999999998</v>
      </c>
      <c r="I345" s="8">
        <v>1.1100000000000001</v>
      </c>
      <c r="J345" s="8">
        <v>1.38</v>
      </c>
      <c r="K345" s="2" t="str">
        <f t="shared" si="20"/>
        <v>Actual</v>
      </c>
      <c r="L345" s="1">
        <f t="shared" si="21"/>
        <v>12.0390455531453</v>
      </c>
      <c r="M345" s="1">
        <f t="shared" si="22"/>
        <v>14.9674620390456</v>
      </c>
      <c r="N345" s="1" t="str">
        <f t="shared" si="23"/>
        <v>Manufacturer</v>
      </c>
    </row>
    <row r="346" spans="1:14">
      <c r="A346" s="8">
        <v>2014</v>
      </c>
      <c r="B346" s="8" t="s">
        <v>164</v>
      </c>
      <c r="C346" s="8">
        <v>6723</v>
      </c>
      <c r="D346" s="8" t="s">
        <v>165</v>
      </c>
      <c r="E346" s="8" t="s">
        <v>156</v>
      </c>
      <c r="F346" s="8">
        <v>7.89</v>
      </c>
      <c r="G346" s="8">
        <v>18.7</v>
      </c>
      <c r="H346" s="8">
        <v>1.48</v>
      </c>
      <c r="I346" s="8">
        <v>0.95</v>
      </c>
      <c r="J346" s="8">
        <v>1.18</v>
      </c>
      <c r="K346" s="2" t="str">
        <f t="shared" si="20"/>
        <v>Actual</v>
      </c>
      <c r="L346" s="1">
        <f t="shared" si="21"/>
        <v>12.040557667934101</v>
      </c>
      <c r="M346" s="1">
        <f t="shared" si="22"/>
        <v>14.955640050697101</v>
      </c>
      <c r="N346" s="1" t="str">
        <f t="shared" si="23"/>
        <v>Manufacturer</v>
      </c>
    </row>
    <row r="347" spans="1:14">
      <c r="A347" s="8">
        <v>2015</v>
      </c>
      <c r="B347" s="8" t="s">
        <v>164</v>
      </c>
      <c r="C347" s="8">
        <v>6723</v>
      </c>
      <c r="D347" s="8" t="s">
        <v>165</v>
      </c>
      <c r="E347" s="8" t="s">
        <v>156</v>
      </c>
      <c r="F347" s="8">
        <v>7.07</v>
      </c>
      <c r="G347" s="8">
        <v>19.3</v>
      </c>
      <c r="H347" s="8">
        <v>1.36</v>
      </c>
      <c r="I347" s="8">
        <v>0.85</v>
      </c>
      <c r="J347" s="8">
        <v>1.06</v>
      </c>
      <c r="K347" s="2" t="str">
        <f t="shared" si="20"/>
        <v>Actual</v>
      </c>
      <c r="L347" s="1">
        <f t="shared" si="21"/>
        <v>12.022630834512</v>
      </c>
      <c r="M347" s="1">
        <f t="shared" si="22"/>
        <v>14.992927864215</v>
      </c>
      <c r="N347" s="1" t="str">
        <f t="shared" si="23"/>
        <v>Manufacturer</v>
      </c>
    </row>
    <row r="348" spans="1:14">
      <c r="A348" s="8">
        <v>2016</v>
      </c>
      <c r="B348" s="8" t="s">
        <v>164</v>
      </c>
      <c r="C348" s="8">
        <v>6723</v>
      </c>
      <c r="D348" s="8" t="s">
        <v>165</v>
      </c>
      <c r="E348" s="8" t="s">
        <v>156</v>
      </c>
      <c r="F348" s="8">
        <v>7.2</v>
      </c>
      <c r="G348" s="8">
        <v>13.2</v>
      </c>
      <c r="H348" s="8">
        <v>0.95</v>
      </c>
      <c r="I348" s="8">
        <v>0.86</v>
      </c>
      <c r="J348" s="8">
        <v>1.08</v>
      </c>
      <c r="K348" s="2" t="str">
        <f t="shared" si="20"/>
        <v>Actual</v>
      </c>
      <c r="L348" s="1">
        <f t="shared" si="21"/>
        <v>11.9444444444444</v>
      </c>
      <c r="M348" s="1">
        <f t="shared" si="22"/>
        <v>15</v>
      </c>
      <c r="N348" s="1" t="str">
        <f t="shared" si="23"/>
        <v>Manufacturer</v>
      </c>
    </row>
    <row r="349" spans="1:14">
      <c r="A349" s="8">
        <v>2017</v>
      </c>
      <c r="B349" s="8" t="s">
        <v>164</v>
      </c>
      <c r="C349" s="8">
        <v>6723</v>
      </c>
      <c r="D349" s="8" t="s">
        <v>165</v>
      </c>
      <c r="E349" s="8" t="s">
        <v>156</v>
      </c>
      <c r="F349" s="8">
        <v>6.83</v>
      </c>
      <c r="G349" s="8">
        <v>17.7</v>
      </c>
      <c r="H349" s="8">
        <v>1.21</v>
      </c>
      <c r="I349" s="8">
        <v>0.82</v>
      </c>
      <c r="J349" s="8">
        <v>1.02</v>
      </c>
      <c r="K349" s="2" t="str">
        <f t="shared" si="20"/>
        <v>Actual</v>
      </c>
      <c r="L349" s="1">
        <f t="shared" si="21"/>
        <v>12.0058565153734</v>
      </c>
      <c r="M349" s="1">
        <f t="shared" si="22"/>
        <v>14.9341142020498</v>
      </c>
      <c r="N349" s="1" t="str">
        <f t="shared" si="23"/>
        <v>Manufacturer</v>
      </c>
    </row>
    <row r="350" spans="1:14">
      <c r="A350" s="8">
        <v>2018</v>
      </c>
      <c r="B350" s="8" t="s">
        <v>164</v>
      </c>
      <c r="C350" s="8">
        <v>6723</v>
      </c>
      <c r="D350" s="8" t="s">
        <v>165</v>
      </c>
      <c r="E350" s="8" t="s">
        <v>156</v>
      </c>
      <c r="F350" s="8">
        <v>6.53</v>
      </c>
      <c r="G350" s="8">
        <v>17.100000000000001</v>
      </c>
      <c r="H350" s="8">
        <v>1.1200000000000001</v>
      </c>
      <c r="I350" s="8">
        <v>0.78</v>
      </c>
      <c r="J350" s="8">
        <v>0.98</v>
      </c>
      <c r="K350" s="2" t="str">
        <f t="shared" si="20"/>
        <v>Actual</v>
      </c>
      <c r="L350" s="1">
        <f t="shared" si="21"/>
        <v>11.944869831546701</v>
      </c>
      <c r="M350" s="1">
        <f t="shared" si="22"/>
        <v>15.007656967840701</v>
      </c>
      <c r="N350" s="1" t="str">
        <f t="shared" si="23"/>
        <v>Manufacturer</v>
      </c>
    </row>
    <row r="351" spans="1:14">
      <c r="A351" s="8">
        <v>2019</v>
      </c>
      <c r="B351" s="8" t="s">
        <v>164</v>
      </c>
      <c r="C351" s="8">
        <v>6723</v>
      </c>
      <c r="D351" s="8" t="s">
        <v>165</v>
      </c>
      <c r="E351" s="8" t="s">
        <v>156</v>
      </c>
      <c r="F351" s="8">
        <v>6.62</v>
      </c>
      <c r="G351" s="8">
        <v>19.399999999999999</v>
      </c>
      <c r="H351" s="8">
        <v>1.28</v>
      </c>
      <c r="I351" s="8">
        <v>0.79</v>
      </c>
      <c r="J351" s="8">
        <v>0.99</v>
      </c>
      <c r="K351" s="2" t="str">
        <f t="shared" si="20"/>
        <v>Actual</v>
      </c>
      <c r="L351" s="1">
        <f t="shared" si="21"/>
        <v>11.933534743202401</v>
      </c>
      <c r="M351" s="1">
        <f t="shared" si="22"/>
        <v>14.954682779456199</v>
      </c>
      <c r="N351" s="1" t="str">
        <f t="shared" si="23"/>
        <v>Manufacturer</v>
      </c>
    </row>
    <row r="352" spans="1:14">
      <c r="A352" s="8">
        <v>2020</v>
      </c>
      <c r="B352" s="8" t="s">
        <v>164</v>
      </c>
      <c r="C352" s="8">
        <v>6723</v>
      </c>
      <c r="D352" s="8" t="s">
        <v>165</v>
      </c>
      <c r="E352" s="8" t="s">
        <v>156</v>
      </c>
      <c r="F352" s="8">
        <v>6.82</v>
      </c>
      <c r="G352" s="8">
        <v>19.3</v>
      </c>
      <c r="H352" s="8">
        <v>1.31</v>
      </c>
      <c r="I352" s="8">
        <v>0.82</v>
      </c>
      <c r="J352" s="8">
        <v>1.02</v>
      </c>
      <c r="K352" s="2" t="str">
        <f t="shared" si="20"/>
        <v>Actual</v>
      </c>
      <c r="L352" s="1">
        <f t="shared" si="21"/>
        <v>12.023460410557201</v>
      </c>
      <c r="M352" s="1">
        <f t="shared" si="22"/>
        <v>14.956011730205301</v>
      </c>
      <c r="N352" s="1" t="str">
        <f t="shared" si="23"/>
        <v>Manufacturer</v>
      </c>
    </row>
    <row r="353" spans="1:14">
      <c r="A353" s="8">
        <v>2021</v>
      </c>
      <c r="B353" s="8" t="s">
        <v>164</v>
      </c>
      <c r="C353" s="8">
        <v>6723</v>
      </c>
      <c r="D353" s="8" t="s">
        <v>165</v>
      </c>
      <c r="E353" s="8" t="s">
        <v>156</v>
      </c>
      <c r="F353" s="8">
        <v>8.5299999999999994</v>
      </c>
      <c r="G353" s="8">
        <v>19.8</v>
      </c>
      <c r="H353" s="8">
        <v>1.69</v>
      </c>
      <c r="I353" s="8">
        <v>1.02</v>
      </c>
      <c r="J353" s="8">
        <v>1.28</v>
      </c>
      <c r="K353" s="2" t="str">
        <f t="shared" si="20"/>
        <v>Actual</v>
      </c>
      <c r="L353" s="1">
        <f t="shared" si="21"/>
        <v>11.957796014068</v>
      </c>
      <c r="M353" s="1">
        <f t="shared" si="22"/>
        <v>15.0058616647128</v>
      </c>
      <c r="N353" s="1" t="str">
        <f t="shared" si="23"/>
        <v>Manufacturer</v>
      </c>
    </row>
    <row r="354" spans="1:14">
      <c r="A354" s="8">
        <v>2022</v>
      </c>
      <c r="B354" s="8" t="s">
        <v>164</v>
      </c>
      <c r="C354" s="8">
        <v>6723</v>
      </c>
      <c r="D354" s="8" t="s">
        <v>165</v>
      </c>
      <c r="E354" s="8" t="s">
        <v>156</v>
      </c>
      <c r="F354" s="8">
        <v>11.35</v>
      </c>
      <c r="G354" s="8">
        <v>17.100000000000001</v>
      </c>
      <c r="H354" s="8">
        <v>1.94</v>
      </c>
      <c r="I354" s="8">
        <v>1.36</v>
      </c>
      <c r="J354" s="8">
        <v>1.7</v>
      </c>
      <c r="K354" s="2" t="str">
        <f t="shared" si="20"/>
        <v>Actual</v>
      </c>
      <c r="L354" s="1">
        <f t="shared" si="21"/>
        <v>11.982378854625599</v>
      </c>
      <c r="M354" s="1">
        <f t="shared" si="22"/>
        <v>14.9779735682819</v>
      </c>
      <c r="N354" s="1" t="str">
        <f t="shared" si="23"/>
        <v>Manufacturer</v>
      </c>
    </row>
    <row r="355" spans="1:14">
      <c r="A355" s="8">
        <v>2023</v>
      </c>
      <c r="B355" s="8" t="s">
        <v>164</v>
      </c>
      <c r="C355" s="8">
        <v>6723</v>
      </c>
      <c r="D355" s="8" t="s">
        <v>165</v>
      </c>
      <c r="E355" s="8" t="s">
        <v>156</v>
      </c>
      <c r="F355" s="8">
        <v>10.31</v>
      </c>
      <c r="G355" s="8">
        <v>11.7</v>
      </c>
      <c r="H355" s="8">
        <v>1.2</v>
      </c>
      <c r="I355" s="8">
        <v>1.24</v>
      </c>
      <c r="J355" s="8">
        <v>1.55</v>
      </c>
      <c r="K355" s="2" t="str">
        <f t="shared" si="20"/>
        <v>Actual</v>
      </c>
      <c r="L355" s="1">
        <f t="shared" si="21"/>
        <v>12.0271580989331</v>
      </c>
      <c r="M355" s="1">
        <f t="shared" si="22"/>
        <v>15.0339476236663</v>
      </c>
      <c r="N355" s="1" t="str">
        <f t="shared" si="23"/>
        <v>Manufacturer</v>
      </c>
    </row>
    <row r="356" spans="1:14">
      <c r="A356" s="8">
        <v>2024</v>
      </c>
      <c r="B356" s="8" t="s">
        <v>164</v>
      </c>
      <c r="C356" s="8">
        <v>6723</v>
      </c>
      <c r="D356" s="8" t="s">
        <v>165</v>
      </c>
      <c r="E356" s="8" t="s">
        <v>156</v>
      </c>
      <c r="F356" s="8">
        <v>9.34</v>
      </c>
      <c r="G356" s="8">
        <v>21.9</v>
      </c>
      <c r="H356" s="8">
        <v>2.0499999999999998</v>
      </c>
      <c r="I356" s="8">
        <v>1.1200000000000001</v>
      </c>
      <c r="J356" s="8">
        <v>1.4</v>
      </c>
      <c r="K356" s="2" t="str">
        <f t="shared" si="20"/>
        <v>Actual</v>
      </c>
      <c r="L356" s="1">
        <f t="shared" si="21"/>
        <v>11.9914346895075</v>
      </c>
      <c r="M356" s="1">
        <f t="shared" si="22"/>
        <v>14.9892933618844</v>
      </c>
      <c r="N356" s="1" t="str">
        <f t="shared" si="23"/>
        <v>Manufacturer</v>
      </c>
    </row>
    <row r="357" spans="1:14">
      <c r="A357" s="8">
        <v>2025</v>
      </c>
      <c r="B357" s="8" t="s">
        <v>164</v>
      </c>
      <c r="C357" s="8">
        <v>6723</v>
      </c>
      <c r="D357" s="8" t="s">
        <v>165</v>
      </c>
      <c r="E357" s="8" t="s">
        <v>156</v>
      </c>
      <c r="F357" s="8">
        <v>10.45</v>
      </c>
      <c r="G357" s="8">
        <v>22.1</v>
      </c>
      <c r="H357" s="8">
        <v>2.31</v>
      </c>
      <c r="I357" s="8">
        <v>1.25</v>
      </c>
      <c r="J357" s="8">
        <v>1.57</v>
      </c>
      <c r="K357" s="2" t="str">
        <f t="shared" si="20"/>
        <v>Forecast</v>
      </c>
      <c r="L357" s="1">
        <f t="shared" si="21"/>
        <v>11.9617224880383</v>
      </c>
      <c r="M357" s="1">
        <f t="shared" si="22"/>
        <v>15.0239234449761</v>
      </c>
      <c r="N357" s="1" t="str">
        <f t="shared" si="23"/>
        <v>Manufacturer</v>
      </c>
    </row>
    <row r="358" spans="1:14">
      <c r="A358" s="8">
        <v>2026</v>
      </c>
      <c r="B358" s="8" t="s">
        <v>164</v>
      </c>
      <c r="C358" s="8">
        <v>6723</v>
      </c>
      <c r="D358" s="8" t="s">
        <v>165</v>
      </c>
      <c r="E358" s="8" t="s">
        <v>156</v>
      </c>
      <c r="F358" s="8">
        <v>11.15</v>
      </c>
      <c r="G358" s="8">
        <v>20</v>
      </c>
      <c r="H358" s="8">
        <v>2.23</v>
      </c>
      <c r="I358" s="8">
        <v>1.34</v>
      </c>
      <c r="J358" s="8">
        <v>1.67</v>
      </c>
      <c r="K358" s="2" t="str">
        <f t="shared" si="20"/>
        <v>Forecast</v>
      </c>
      <c r="L358" s="1">
        <f t="shared" si="21"/>
        <v>12.0179372197309</v>
      </c>
      <c r="M358" s="1">
        <f t="shared" si="22"/>
        <v>14.977578475336299</v>
      </c>
      <c r="N358" s="1" t="str">
        <f t="shared" si="23"/>
        <v>Manufacturer</v>
      </c>
    </row>
    <row r="359" spans="1:14">
      <c r="A359" s="8">
        <v>2010</v>
      </c>
      <c r="B359" s="8" t="s">
        <v>166</v>
      </c>
      <c r="C359" s="8" t="s">
        <v>167</v>
      </c>
      <c r="D359" s="8" t="s">
        <v>121</v>
      </c>
      <c r="E359" s="8" t="s">
        <v>168</v>
      </c>
      <c r="F359" s="8">
        <v>1.49</v>
      </c>
      <c r="G359" s="8">
        <v>36.4</v>
      </c>
      <c r="H359" s="8">
        <v>0.54</v>
      </c>
      <c r="I359" s="8">
        <v>0.18</v>
      </c>
      <c r="J359" s="8">
        <v>0.15</v>
      </c>
      <c r="K359" s="2" t="str">
        <f t="shared" si="20"/>
        <v>Actual</v>
      </c>
      <c r="L359" s="1">
        <f t="shared" si="21"/>
        <v>12.0805369127517</v>
      </c>
      <c r="M359" s="1">
        <f t="shared" si="22"/>
        <v>10.067114093959701</v>
      </c>
      <c r="N359" s="1" t="str">
        <f t="shared" si="23"/>
        <v>Manufacturer</v>
      </c>
    </row>
    <row r="360" spans="1:14">
      <c r="A360" s="8">
        <v>2011</v>
      </c>
      <c r="B360" s="8" t="s">
        <v>166</v>
      </c>
      <c r="C360" s="8" t="s">
        <v>167</v>
      </c>
      <c r="D360" s="8" t="s">
        <v>121</v>
      </c>
      <c r="E360" s="8" t="s">
        <v>168</v>
      </c>
      <c r="F360" s="8">
        <v>1.56</v>
      </c>
      <c r="G360" s="8">
        <v>42.1</v>
      </c>
      <c r="H360" s="8">
        <v>0.66</v>
      </c>
      <c r="I360" s="8">
        <v>0.19</v>
      </c>
      <c r="J360" s="8">
        <v>0.16</v>
      </c>
      <c r="K360" s="2" t="str">
        <f t="shared" si="20"/>
        <v>Actual</v>
      </c>
      <c r="L360" s="1">
        <f t="shared" si="21"/>
        <v>12.1794871794872</v>
      </c>
      <c r="M360" s="1">
        <f t="shared" si="22"/>
        <v>10.2564102564103</v>
      </c>
      <c r="N360" s="1" t="str">
        <f t="shared" si="23"/>
        <v>Manufacturer</v>
      </c>
    </row>
    <row r="361" spans="1:14">
      <c r="A361" s="8">
        <v>2012</v>
      </c>
      <c r="B361" s="8" t="s">
        <v>166</v>
      </c>
      <c r="C361" s="8" t="s">
        <v>167</v>
      </c>
      <c r="D361" s="8" t="s">
        <v>121</v>
      </c>
      <c r="E361" s="8" t="s">
        <v>168</v>
      </c>
      <c r="F361" s="8">
        <v>1.76</v>
      </c>
      <c r="G361" s="8">
        <v>36.9</v>
      </c>
      <c r="H361" s="8">
        <v>0.65</v>
      </c>
      <c r="I361" s="8">
        <v>0.21</v>
      </c>
      <c r="J361" s="8">
        <v>0.18</v>
      </c>
      <c r="K361" s="2" t="str">
        <f t="shared" si="20"/>
        <v>Actual</v>
      </c>
      <c r="L361" s="1">
        <f t="shared" si="21"/>
        <v>11.931818181818199</v>
      </c>
      <c r="M361" s="1">
        <f t="shared" si="22"/>
        <v>10.2272727272727</v>
      </c>
      <c r="N361" s="1" t="str">
        <f t="shared" si="23"/>
        <v>Manufacturer</v>
      </c>
    </row>
    <row r="362" spans="1:14">
      <c r="A362" s="8">
        <v>2013</v>
      </c>
      <c r="B362" s="8" t="s">
        <v>166</v>
      </c>
      <c r="C362" s="8" t="s">
        <v>167</v>
      </c>
      <c r="D362" s="8" t="s">
        <v>121</v>
      </c>
      <c r="E362" s="8" t="s">
        <v>168</v>
      </c>
      <c r="F362" s="8">
        <v>1.91</v>
      </c>
      <c r="G362" s="8">
        <v>43.4</v>
      </c>
      <c r="H362" s="8">
        <v>0.83</v>
      </c>
      <c r="I362" s="8">
        <v>0.23</v>
      </c>
      <c r="J362" s="8">
        <v>0.19</v>
      </c>
      <c r="K362" s="2" t="str">
        <f t="shared" si="20"/>
        <v>Actual</v>
      </c>
      <c r="L362" s="1">
        <f t="shared" si="21"/>
        <v>12.0418848167539</v>
      </c>
      <c r="M362" s="1">
        <f t="shared" si="22"/>
        <v>9.9476439790575899</v>
      </c>
      <c r="N362" s="1" t="str">
        <f t="shared" si="23"/>
        <v>Manufacturer</v>
      </c>
    </row>
    <row r="363" spans="1:14">
      <c r="A363" s="8">
        <v>2014</v>
      </c>
      <c r="B363" s="8" t="s">
        <v>166</v>
      </c>
      <c r="C363" s="8" t="s">
        <v>167</v>
      </c>
      <c r="D363" s="8" t="s">
        <v>121</v>
      </c>
      <c r="E363" s="8" t="s">
        <v>168</v>
      </c>
      <c r="F363" s="8">
        <v>1.92</v>
      </c>
      <c r="G363" s="8">
        <v>35.5</v>
      </c>
      <c r="H363" s="8">
        <v>0.68</v>
      </c>
      <c r="I363" s="8">
        <v>0.23</v>
      </c>
      <c r="J363" s="8">
        <v>0.19</v>
      </c>
      <c r="K363" s="2" t="str">
        <f t="shared" si="20"/>
        <v>Actual</v>
      </c>
      <c r="L363" s="1">
        <f t="shared" si="21"/>
        <v>11.9791666666667</v>
      </c>
      <c r="M363" s="1">
        <f t="shared" si="22"/>
        <v>9.8958333333333304</v>
      </c>
      <c r="N363" s="1" t="str">
        <f t="shared" si="23"/>
        <v>Manufacturer</v>
      </c>
    </row>
    <row r="364" spans="1:14">
      <c r="A364" s="8">
        <v>2015</v>
      </c>
      <c r="B364" s="8" t="s">
        <v>166</v>
      </c>
      <c r="C364" s="8" t="s">
        <v>167</v>
      </c>
      <c r="D364" s="8" t="s">
        <v>121</v>
      </c>
      <c r="E364" s="8" t="s">
        <v>168</v>
      </c>
      <c r="F364" s="8">
        <v>2.14</v>
      </c>
      <c r="G364" s="8">
        <v>44.4</v>
      </c>
      <c r="H364" s="8">
        <v>0.95</v>
      </c>
      <c r="I364" s="8">
        <v>0.26</v>
      </c>
      <c r="J364" s="8">
        <v>0.21</v>
      </c>
      <c r="K364" s="2" t="str">
        <f t="shared" si="20"/>
        <v>Actual</v>
      </c>
      <c r="L364" s="1">
        <f t="shared" si="21"/>
        <v>12.1495327102804</v>
      </c>
      <c r="M364" s="1">
        <f t="shared" si="22"/>
        <v>9.8130841121495305</v>
      </c>
      <c r="N364" s="1" t="str">
        <f t="shared" si="23"/>
        <v>Manufacturer</v>
      </c>
    </row>
    <row r="365" spans="1:14">
      <c r="A365" s="8">
        <v>2016</v>
      </c>
      <c r="B365" s="8" t="s">
        <v>166</v>
      </c>
      <c r="C365" s="8" t="s">
        <v>167</v>
      </c>
      <c r="D365" s="8" t="s">
        <v>121</v>
      </c>
      <c r="E365" s="8" t="s">
        <v>168</v>
      </c>
      <c r="F365" s="8">
        <v>2.82</v>
      </c>
      <c r="G365" s="8">
        <v>42.3</v>
      </c>
      <c r="H365" s="8">
        <v>1.19</v>
      </c>
      <c r="I365" s="8">
        <v>0.34</v>
      </c>
      <c r="J365" s="8">
        <v>0.28000000000000003</v>
      </c>
      <c r="K365" s="2" t="str">
        <f t="shared" si="20"/>
        <v>Actual</v>
      </c>
      <c r="L365" s="1">
        <f t="shared" si="21"/>
        <v>12.056737588652499</v>
      </c>
      <c r="M365" s="1">
        <f t="shared" si="22"/>
        <v>9.9290780141843999</v>
      </c>
      <c r="N365" s="1" t="str">
        <f t="shared" si="23"/>
        <v>Manufacturer</v>
      </c>
    </row>
    <row r="366" spans="1:14">
      <c r="A366" s="8">
        <v>2017</v>
      </c>
      <c r="B366" s="8" t="s">
        <v>166</v>
      </c>
      <c r="C366" s="8" t="s">
        <v>167</v>
      </c>
      <c r="D366" s="8" t="s">
        <v>121</v>
      </c>
      <c r="E366" s="8" t="s">
        <v>168</v>
      </c>
      <c r="F366" s="8">
        <v>3.29</v>
      </c>
      <c r="G366" s="8">
        <v>36.6</v>
      </c>
      <c r="H366" s="8">
        <v>1.2</v>
      </c>
      <c r="I366" s="8">
        <v>0.39</v>
      </c>
      <c r="J366" s="8">
        <v>0.33</v>
      </c>
      <c r="K366" s="2" t="str">
        <f t="shared" si="20"/>
        <v>Actual</v>
      </c>
      <c r="L366" s="1">
        <f t="shared" si="21"/>
        <v>11.854103343465001</v>
      </c>
      <c r="M366" s="1">
        <f t="shared" si="22"/>
        <v>10.0303951367781</v>
      </c>
      <c r="N366" s="1" t="str">
        <f t="shared" si="23"/>
        <v>Manufacturer</v>
      </c>
    </row>
    <row r="367" spans="1:14">
      <c r="A367" s="8">
        <v>2018</v>
      </c>
      <c r="B367" s="8" t="s">
        <v>166</v>
      </c>
      <c r="C367" s="8" t="s">
        <v>167</v>
      </c>
      <c r="D367" s="8" t="s">
        <v>121</v>
      </c>
      <c r="E367" s="8" t="s">
        <v>168</v>
      </c>
      <c r="F367" s="8">
        <v>4.05</v>
      </c>
      <c r="G367" s="8">
        <v>40.200000000000003</v>
      </c>
      <c r="H367" s="8">
        <v>1.63</v>
      </c>
      <c r="I367" s="8">
        <v>0.49</v>
      </c>
      <c r="J367" s="8">
        <v>0.41</v>
      </c>
      <c r="K367" s="2" t="str">
        <f t="shared" si="20"/>
        <v>Actual</v>
      </c>
      <c r="L367" s="1">
        <f t="shared" si="21"/>
        <v>12.0987654320988</v>
      </c>
      <c r="M367" s="1">
        <f t="shared" si="22"/>
        <v>10.1234567901235</v>
      </c>
      <c r="N367" s="1" t="str">
        <f t="shared" si="23"/>
        <v>Manufacturer</v>
      </c>
    </row>
    <row r="368" spans="1:14">
      <c r="A368" s="8">
        <v>2019</v>
      </c>
      <c r="B368" s="8" t="s">
        <v>166</v>
      </c>
      <c r="C368" s="8" t="s">
        <v>167</v>
      </c>
      <c r="D368" s="8" t="s">
        <v>121</v>
      </c>
      <c r="E368" s="8" t="s">
        <v>168</v>
      </c>
      <c r="F368" s="8">
        <v>4.7300000000000004</v>
      </c>
      <c r="G368" s="8">
        <v>39.4</v>
      </c>
      <c r="H368" s="8">
        <v>1.86</v>
      </c>
      <c r="I368" s="8">
        <v>0.56999999999999995</v>
      </c>
      <c r="J368" s="8">
        <v>0.47</v>
      </c>
      <c r="K368" s="2" t="str">
        <f t="shared" si="20"/>
        <v>Actual</v>
      </c>
      <c r="L368" s="1">
        <f t="shared" si="21"/>
        <v>12.050739957716701</v>
      </c>
      <c r="M368" s="1">
        <f t="shared" si="22"/>
        <v>9.9365750528541206</v>
      </c>
      <c r="N368" s="1" t="str">
        <f t="shared" si="23"/>
        <v>Manufacturer</v>
      </c>
    </row>
    <row r="369" spans="1:14">
      <c r="A369" s="8">
        <v>2020</v>
      </c>
      <c r="B369" s="8" t="s">
        <v>166</v>
      </c>
      <c r="C369" s="8" t="s">
        <v>167</v>
      </c>
      <c r="D369" s="8" t="s">
        <v>121</v>
      </c>
      <c r="E369" s="8" t="s">
        <v>168</v>
      </c>
      <c r="F369" s="8">
        <v>5.34</v>
      </c>
      <c r="G369" s="8">
        <v>40.5</v>
      </c>
      <c r="H369" s="8">
        <v>2.16</v>
      </c>
      <c r="I369" s="8">
        <v>0.64</v>
      </c>
      <c r="J369" s="8">
        <v>0.53</v>
      </c>
      <c r="K369" s="2" t="str">
        <f t="shared" si="20"/>
        <v>Actual</v>
      </c>
      <c r="L369" s="1">
        <f t="shared" si="21"/>
        <v>11.9850187265918</v>
      </c>
      <c r="M369" s="1">
        <f t="shared" si="22"/>
        <v>9.9250936329588004</v>
      </c>
      <c r="N369" s="1" t="str">
        <f t="shared" si="23"/>
        <v>Manufacturer</v>
      </c>
    </row>
    <row r="370" spans="1:14">
      <c r="A370" s="8">
        <v>2021</v>
      </c>
      <c r="B370" s="8" t="s">
        <v>166</v>
      </c>
      <c r="C370" s="8" t="s">
        <v>167</v>
      </c>
      <c r="D370" s="8" t="s">
        <v>121</v>
      </c>
      <c r="E370" s="8" t="s">
        <v>168</v>
      </c>
      <c r="F370" s="8">
        <v>7.01</v>
      </c>
      <c r="G370" s="8">
        <v>42.4</v>
      </c>
      <c r="H370" s="8">
        <v>2.97</v>
      </c>
      <c r="I370" s="8">
        <v>0.84</v>
      </c>
      <c r="J370" s="8">
        <v>0.7</v>
      </c>
      <c r="K370" s="2" t="str">
        <f t="shared" si="20"/>
        <v>Actual</v>
      </c>
      <c r="L370" s="1">
        <f t="shared" si="21"/>
        <v>11.982881597717499</v>
      </c>
      <c r="M370" s="1">
        <f t="shared" si="22"/>
        <v>9.9857346647646192</v>
      </c>
      <c r="N370" s="1" t="str">
        <f t="shared" si="23"/>
        <v>Manufacturer</v>
      </c>
    </row>
    <row r="371" spans="1:14">
      <c r="A371" s="8">
        <v>2022</v>
      </c>
      <c r="B371" s="8" t="s">
        <v>166</v>
      </c>
      <c r="C371" s="8" t="s">
        <v>167</v>
      </c>
      <c r="D371" s="8" t="s">
        <v>121</v>
      </c>
      <c r="E371" s="8" t="s">
        <v>168</v>
      </c>
      <c r="F371" s="8">
        <v>8</v>
      </c>
      <c r="G371" s="8">
        <v>33.299999999999997</v>
      </c>
      <c r="H371" s="8">
        <v>2.66</v>
      </c>
      <c r="I371" s="8">
        <v>0.96</v>
      </c>
      <c r="J371" s="8">
        <v>0.8</v>
      </c>
      <c r="K371" s="2" t="str">
        <f t="shared" si="20"/>
        <v>Actual</v>
      </c>
      <c r="L371" s="1">
        <f t="shared" si="21"/>
        <v>12</v>
      </c>
      <c r="M371" s="1">
        <f t="shared" si="22"/>
        <v>10</v>
      </c>
      <c r="N371" s="1" t="str">
        <f t="shared" si="23"/>
        <v>Manufacturer</v>
      </c>
    </row>
    <row r="372" spans="1:14">
      <c r="A372" s="8">
        <v>2023</v>
      </c>
      <c r="B372" s="8" t="s">
        <v>166</v>
      </c>
      <c r="C372" s="8" t="s">
        <v>167</v>
      </c>
      <c r="D372" s="8" t="s">
        <v>121</v>
      </c>
      <c r="E372" s="8" t="s">
        <v>168</v>
      </c>
      <c r="F372" s="8">
        <v>7.83</v>
      </c>
      <c r="G372" s="8">
        <v>43.6</v>
      </c>
      <c r="H372" s="8">
        <v>3.41</v>
      </c>
      <c r="I372" s="8">
        <v>0.94</v>
      </c>
      <c r="J372" s="8">
        <v>0.78</v>
      </c>
      <c r="K372" s="2" t="str">
        <f t="shared" si="20"/>
        <v>Actual</v>
      </c>
      <c r="L372" s="1">
        <f t="shared" si="21"/>
        <v>12.005108556832701</v>
      </c>
      <c r="M372" s="1">
        <f t="shared" si="22"/>
        <v>9.9616858237547898</v>
      </c>
      <c r="N372" s="1" t="str">
        <f t="shared" si="23"/>
        <v>Manufacturer</v>
      </c>
    </row>
    <row r="373" spans="1:14">
      <c r="A373" s="8">
        <v>2024</v>
      </c>
      <c r="B373" s="8" t="s">
        <v>166</v>
      </c>
      <c r="C373" s="8" t="s">
        <v>167</v>
      </c>
      <c r="D373" s="8" t="s">
        <v>121</v>
      </c>
      <c r="E373" s="8" t="s">
        <v>168</v>
      </c>
      <c r="F373" s="8">
        <v>4.2699999999999996</v>
      </c>
      <c r="G373" s="8">
        <v>34.4</v>
      </c>
      <c r="H373" s="8">
        <v>1.47</v>
      </c>
      <c r="I373" s="8">
        <v>0.51</v>
      </c>
      <c r="J373" s="8">
        <v>0.43</v>
      </c>
      <c r="K373" s="2" t="str">
        <f t="shared" si="20"/>
        <v>Actual</v>
      </c>
      <c r="L373" s="1">
        <f t="shared" si="21"/>
        <v>11.943793911007001</v>
      </c>
      <c r="M373" s="1">
        <f t="shared" si="22"/>
        <v>10.0702576112412</v>
      </c>
      <c r="N373" s="1" t="str">
        <f t="shared" si="23"/>
        <v>Manufacturer</v>
      </c>
    </row>
    <row r="374" spans="1:14">
      <c r="A374" s="8">
        <v>2025</v>
      </c>
      <c r="B374" s="8" t="s">
        <v>166</v>
      </c>
      <c r="C374" s="8" t="s">
        <v>167</v>
      </c>
      <c r="D374" s="8" t="s">
        <v>121</v>
      </c>
      <c r="E374" s="8" t="s">
        <v>168</v>
      </c>
      <c r="F374" s="8">
        <v>5.47</v>
      </c>
      <c r="G374" s="8">
        <v>42.8</v>
      </c>
      <c r="H374" s="8">
        <v>2.34</v>
      </c>
      <c r="I374" s="8">
        <v>0.66</v>
      </c>
      <c r="J374" s="8">
        <v>0.55000000000000004</v>
      </c>
      <c r="K374" s="2" t="str">
        <f t="shared" si="20"/>
        <v>Forecast</v>
      </c>
      <c r="L374" s="1">
        <f t="shared" si="21"/>
        <v>12.065813528336401</v>
      </c>
      <c r="M374" s="1">
        <f t="shared" si="22"/>
        <v>10.054844606947</v>
      </c>
      <c r="N374" s="1" t="str">
        <f t="shared" si="23"/>
        <v>Manufacturer</v>
      </c>
    </row>
    <row r="375" spans="1:14">
      <c r="A375" s="8">
        <v>2026</v>
      </c>
      <c r="B375" s="8" t="s">
        <v>166</v>
      </c>
      <c r="C375" s="8" t="s">
        <v>167</v>
      </c>
      <c r="D375" s="8" t="s">
        <v>121</v>
      </c>
      <c r="E375" s="8" t="s">
        <v>168</v>
      </c>
      <c r="F375" s="8">
        <v>6.86</v>
      </c>
      <c r="G375" s="8">
        <v>41.5</v>
      </c>
      <c r="H375" s="8">
        <v>2.85</v>
      </c>
      <c r="I375" s="8">
        <v>0.82</v>
      </c>
      <c r="J375" s="8">
        <v>0.69</v>
      </c>
      <c r="K375" s="2" t="str">
        <f t="shared" si="20"/>
        <v>Forecast</v>
      </c>
      <c r="L375" s="1">
        <f t="shared" si="21"/>
        <v>11.9533527696793</v>
      </c>
      <c r="M375" s="1">
        <f t="shared" si="22"/>
        <v>10.0583090379009</v>
      </c>
      <c r="N375" s="1" t="str">
        <f t="shared" si="23"/>
        <v>Manufacturer</v>
      </c>
    </row>
    <row r="376" spans="1:14">
      <c r="A376" s="8">
        <v>2010</v>
      </c>
      <c r="B376" s="8" t="s">
        <v>169</v>
      </c>
      <c r="C376" s="8" t="s">
        <v>170</v>
      </c>
      <c r="D376" s="8" t="s">
        <v>121</v>
      </c>
      <c r="E376" s="8" t="s">
        <v>171</v>
      </c>
      <c r="F376" s="8">
        <v>2.27</v>
      </c>
      <c r="G376" s="8">
        <v>22.3</v>
      </c>
      <c r="H376" s="8">
        <v>0.51</v>
      </c>
      <c r="I376" s="8">
        <v>0.27</v>
      </c>
      <c r="J376" s="8">
        <v>0.23</v>
      </c>
      <c r="K376" s="2" t="str">
        <f t="shared" si="20"/>
        <v>Actual</v>
      </c>
      <c r="L376" s="1">
        <f t="shared" si="21"/>
        <v>11.8942731277533</v>
      </c>
      <c r="M376" s="1">
        <f t="shared" si="22"/>
        <v>10.1321585903084</v>
      </c>
      <c r="N376" s="1" t="str">
        <f t="shared" si="23"/>
        <v>Manufacturer</v>
      </c>
    </row>
    <row r="377" spans="1:14">
      <c r="A377" s="8">
        <v>2011</v>
      </c>
      <c r="B377" s="8" t="s">
        <v>169</v>
      </c>
      <c r="C377" s="8" t="s">
        <v>170</v>
      </c>
      <c r="D377" s="8" t="s">
        <v>121</v>
      </c>
      <c r="E377" s="8" t="s">
        <v>171</v>
      </c>
      <c r="F377" s="8">
        <v>2.54</v>
      </c>
      <c r="G377" s="8">
        <v>24.1</v>
      </c>
      <c r="H377" s="8">
        <v>0.61</v>
      </c>
      <c r="I377" s="8">
        <v>0.3</v>
      </c>
      <c r="J377" s="8">
        <v>0.25</v>
      </c>
      <c r="K377" s="2" t="str">
        <f t="shared" si="20"/>
        <v>Actual</v>
      </c>
      <c r="L377" s="1">
        <f t="shared" si="21"/>
        <v>11.8110236220472</v>
      </c>
      <c r="M377" s="1">
        <f t="shared" si="22"/>
        <v>9.8425196850393704</v>
      </c>
      <c r="N377" s="1" t="str">
        <f t="shared" si="23"/>
        <v>Manufacturer</v>
      </c>
    </row>
    <row r="378" spans="1:14">
      <c r="A378" s="8">
        <v>2012</v>
      </c>
      <c r="B378" s="8" t="s">
        <v>169</v>
      </c>
      <c r="C378" s="8" t="s">
        <v>170</v>
      </c>
      <c r="D378" s="8" t="s">
        <v>121</v>
      </c>
      <c r="E378" s="8" t="s">
        <v>171</v>
      </c>
      <c r="F378" s="8">
        <v>2.7</v>
      </c>
      <c r="G378" s="8">
        <v>31.1</v>
      </c>
      <c r="H378" s="8">
        <v>0.84</v>
      </c>
      <c r="I378" s="8">
        <v>0.32</v>
      </c>
      <c r="J378" s="8">
        <v>0.27</v>
      </c>
      <c r="K378" s="2" t="str">
        <f t="shared" si="20"/>
        <v>Actual</v>
      </c>
      <c r="L378" s="1">
        <f t="shared" si="21"/>
        <v>11.851851851851899</v>
      </c>
      <c r="M378" s="1">
        <f t="shared" si="22"/>
        <v>10</v>
      </c>
      <c r="N378" s="1" t="str">
        <f t="shared" si="23"/>
        <v>Manufacturer</v>
      </c>
    </row>
    <row r="379" spans="1:14">
      <c r="A379" s="8">
        <v>2013</v>
      </c>
      <c r="B379" s="8" t="s">
        <v>169</v>
      </c>
      <c r="C379" s="8" t="s">
        <v>170</v>
      </c>
      <c r="D379" s="8" t="s">
        <v>121</v>
      </c>
      <c r="E379" s="8" t="s">
        <v>171</v>
      </c>
      <c r="F379" s="8">
        <v>3.19</v>
      </c>
      <c r="G379" s="8">
        <v>28.4</v>
      </c>
      <c r="H379" s="8">
        <v>0.91</v>
      </c>
      <c r="I379" s="8">
        <v>0.38</v>
      </c>
      <c r="J379" s="8">
        <v>0.32</v>
      </c>
      <c r="K379" s="2" t="str">
        <f t="shared" si="20"/>
        <v>Actual</v>
      </c>
      <c r="L379" s="1">
        <f t="shared" si="21"/>
        <v>11.912225705329201</v>
      </c>
      <c r="M379" s="1">
        <f t="shared" si="22"/>
        <v>10.0313479623824</v>
      </c>
      <c r="N379" s="1" t="str">
        <f t="shared" si="23"/>
        <v>Manufacturer</v>
      </c>
    </row>
    <row r="380" spans="1:14">
      <c r="A380" s="8">
        <v>2014</v>
      </c>
      <c r="B380" s="8" t="s">
        <v>169</v>
      </c>
      <c r="C380" s="8" t="s">
        <v>170</v>
      </c>
      <c r="D380" s="8" t="s">
        <v>121</v>
      </c>
      <c r="E380" s="8" t="s">
        <v>171</v>
      </c>
      <c r="F380" s="8">
        <v>3.17</v>
      </c>
      <c r="G380" s="8">
        <v>27.6</v>
      </c>
      <c r="H380" s="8">
        <v>0.87</v>
      </c>
      <c r="I380" s="8">
        <v>0.38</v>
      </c>
      <c r="J380" s="8">
        <v>0.32</v>
      </c>
      <c r="K380" s="2" t="str">
        <f t="shared" si="20"/>
        <v>Actual</v>
      </c>
      <c r="L380" s="1">
        <f t="shared" si="21"/>
        <v>11.98738170347</v>
      </c>
      <c r="M380" s="1">
        <f t="shared" si="22"/>
        <v>10.0946372239748</v>
      </c>
      <c r="N380" s="1" t="str">
        <f t="shared" si="23"/>
        <v>Manufacturer</v>
      </c>
    </row>
    <row r="381" spans="1:14">
      <c r="A381" s="8">
        <v>2015</v>
      </c>
      <c r="B381" s="8" t="s">
        <v>169</v>
      </c>
      <c r="C381" s="8" t="s">
        <v>170</v>
      </c>
      <c r="D381" s="8" t="s">
        <v>121</v>
      </c>
      <c r="E381" s="8" t="s">
        <v>171</v>
      </c>
      <c r="F381" s="8">
        <v>3.57</v>
      </c>
      <c r="G381" s="8">
        <v>26.3</v>
      </c>
      <c r="H381" s="8">
        <v>0.94</v>
      </c>
      <c r="I381" s="8">
        <v>0.43</v>
      </c>
      <c r="J381" s="8">
        <v>0.36</v>
      </c>
      <c r="K381" s="2" t="str">
        <f t="shared" si="20"/>
        <v>Actual</v>
      </c>
      <c r="L381" s="1">
        <f t="shared" si="21"/>
        <v>12.0448179271709</v>
      </c>
      <c r="M381" s="1">
        <f t="shared" si="22"/>
        <v>10.084033613445399</v>
      </c>
      <c r="N381" s="1" t="str">
        <f t="shared" si="23"/>
        <v>Manufacturer</v>
      </c>
    </row>
    <row r="382" spans="1:14">
      <c r="A382" s="8">
        <v>2016</v>
      </c>
      <c r="B382" s="8" t="s">
        <v>169</v>
      </c>
      <c r="C382" s="8" t="s">
        <v>170</v>
      </c>
      <c r="D382" s="8" t="s">
        <v>121</v>
      </c>
      <c r="E382" s="8" t="s">
        <v>171</v>
      </c>
      <c r="F382" s="8">
        <v>4.46</v>
      </c>
      <c r="G382" s="8">
        <v>26.9</v>
      </c>
      <c r="H382" s="8">
        <v>1.2</v>
      </c>
      <c r="I382" s="8">
        <v>0.54</v>
      </c>
      <c r="J382" s="8">
        <v>0.45</v>
      </c>
      <c r="K382" s="2" t="str">
        <f t="shared" si="20"/>
        <v>Actual</v>
      </c>
      <c r="L382" s="1">
        <f t="shared" si="21"/>
        <v>12.1076233183857</v>
      </c>
      <c r="M382" s="1">
        <f t="shared" si="22"/>
        <v>10.089686098654701</v>
      </c>
      <c r="N382" s="1" t="str">
        <f t="shared" si="23"/>
        <v>Manufacturer</v>
      </c>
    </row>
    <row r="383" spans="1:14">
      <c r="A383" s="8">
        <v>2017</v>
      </c>
      <c r="B383" s="8" t="s">
        <v>169</v>
      </c>
      <c r="C383" s="8" t="s">
        <v>170</v>
      </c>
      <c r="D383" s="8" t="s">
        <v>121</v>
      </c>
      <c r="E383" s="8" t="s">
        <v>171</v>
      </c>
      <c r="F383" s="8">
        <v>5.21</v>
      </c>
      <c r="G383" s="8">
        <v>26.9</v>
      </c>
      <c r="H383" s="8">
        <v>1.4</v>
      </c>
      <c r="I383" s="8">
        <v>0.63</v>
      </c>
      <c r="J383" s="8">
        <v>0.52</v>
      </c>
      <c r="K383" s="2" t="str">
        <f t="shared" si="20"/>
        <v>Actual</v>
      </c>
      <c r="L383" s="1">
        <f t="shared" si="21"/>
        <v>12.0921305182342</v>
      </c>
      <c r="M383" s="1">
        <f t="shared" si="22"/>
        <v>9.9808061420345506</v>
      </c>
      <c r="N383" s="1" t="str">
        <f t="shared" si="23"/>
        <v>Manufacturer</v>
      </c>
    </row>
    <row r="384" spans="1:14">
      <c r="A384" s="8">
        <v>2018</v>
      </c>
      <c r="B384" s="8" t="s">
        <v>169</v>
      </c>
      <c r="C384" s="8" t="s">
        <v>170</v>
      </c>
      <c r="D384" s="8" t="s">
        <v>121</v>
      </c>
      <c r="E384" s="8" t="s">
        <v>171</v>
      </c>
      <c r="F384" s="8">
        <v>5.96</v>
      </c>
      <c r="G384" s="8">
        <v>19.600000000000001</v>
      </c>
      <c r="H384" s="8">
        <v>1.17</v>
      </c>
      <c r="I384" s="8">
        <v>0.72</v>
      </c>
      <c r="J384" s="8">
        <v>0.6</v>
      </c>
      <c r="K384" s="2" t="str">
        <f t="shared" si="20"/>
        <v>Actual</v>
      </c>
      <c r="L384" s="1">
        <f t="shared" si="21"/>
        <v>12.0805369127517</v>
      </c>
      <c r="M384" s="1">
        <f t="shared" si="22"/>
        <v>10.067114093959701</v>
      </c>
      <c r="N384" s="1" t="str">
        <f t="shared" si="23"/>
        <v>Manufacturer</v>
      </c>
    </row>
    <row r="385" spans="1:14">
      <c r="A385" s="8">
        <v>2019</v>
      </c>
      <c r="B385" s="8" t="s">
        <v>169</v>
      </c>
      <c r="C385" s="8" t="s">
        <v>170</v>
      </c>
      <c r="D385" s="8" t="s">
        <v>121</v>
      </c>
      <c r="E385" s="8" t="s">
        <v>171</v>
      </c>
      <c r="F385" s="8">
        <v>5.61</v>
      </c>
      <c r="G385" s="8">
        <v>23.3</v>
      </c>
      <c r="H385" s="8">
        <v>1.31</v>
      </c>
      <c r="I385" s="8">
        <v>0.67</v>
      </c>
      <c r="J385" s="8">
        <v>0.56000000000000005</v>
      </c>
      <c r="K385" s="2" t="str">
        <f t="shared" si="20"/>
        <v>Actual</v>
      </c>
      <c r="L385" s="1">
        <f t="shared" si="21"/>
        <v>11.9429590017825</v>
      </c>
      <c r="M385" s="1">
        <f t="shared" si="22"/>
        <v>9.9821746880570394</v>
      </c>
      <c r="N385" s="1" t="str">
        <f t="shared" si="23"/>
        <v>Manufacturer</v>
      </c>
    </row>
    <row r="386" spans="1:14">
      <c r="A386" s="8">
        <v>2020</v>
      </c>
      <c r="B386" s="8" t="s">
        <v>169</v>
      </c>
      <c r="C386" s="8" t="s">
        <v>170</v>
      </c>
      <c r="D386" s="8" t="s">
        <v>121</v>
      </c>
      <c r="E386" s="8" t="s">
        <v>171</v>
      </c>
      <c r="F386" s="8">
        <v>5.0999999999999996</v>
      </c>
      <c r="G386" s="8">
        <v>30</v>
      </c>
      <c r="H386" s="8">
        <v>1.53</v>
      </c>
      <c r="I386" s="8">
        <v>0.61</v>
      </c>
      <c r="J386" s="8">
        <v>0.51</v>
      </c>
      <c r="K386" s="2" t="str">
        <f t="shared" si="20"/>
        <v>Actual</v>
      </c>
      <c r="L386" s="1">
        <f t="shared" si="21"/>
        <v>11.960784313725499</v>
      </c>
      <c r="M386" s="1">
        <f t="shared" si="22"/>
        <v>10</v>
      </c>
      <c r="N386" s="1" t="str">
        <f t="shared" si="23"/>
        <v>Manufacturer</v>
      </c>
    </row>
    <row r="387" spans="1:14">
      <c r="A387" s="8">
        <v>2021</v>
      </c>
      <c r="B387" s="8" t="s">
        <v>169</v>
      </c>
      <c r="C387" s="8" t="s">
        <v>170</v>
      </c>
      <c r="D387" s="8" t="s">
        <v>121</v>
      </c>
      <c r="E387" s="8" t="s">
        <v>171</v>
      </c>
      <c r="F387" s="8">
        <v>7.16</v>
      </c>
      <c r="G387" s="8">
        <v>29.1</v>
      </c>
      <c r="H387" s="8">
        <v>2.08</v>
      </c>
      <c r="I387" s="8">
        <v>0.86</v>
      </c>
      <c r="J387" s="8">
        <v>0.72</v>
      </c>
      <c r="K387" s="2" t="str">
        <f t="shared" ref="K387:K450" si="24">IF(A387&gt;=2025,"Forecast","Actual")</f>
        <v>Actual</v>
      </c>
      <c r="L387" s="1">
        <f t="shared" ref="L387:L450" si="25">IF(F387=0,0,I387/F387*100)</f>
        <v>12.011173184357499</v>
      </c>
      <c r="M387" s="1">
        <f t="shared" ref="M387:M450" si="26">IF(F387=0,0,J387/F387*100)</f>
        <v>10.055865921787699</v>
      </c>
      <c r="N387" s="1" t="str">
        <f t="shared" ref="N387:N450" si="27">IF(LEFT(E387,7)="fabless","Fabless",IF(LEFT(E387,9)="equipment","Equipment",IF(E387="foundry","Manufacturer",IF(LEFT(E387,3)="idm","Manufacturer",IF(E387="eda_software","EDA Software","Other")))))</f>
        <v>Manufacturer</v>
      </c>
    </row>
    <row r="388" spans="1:14">
      <c r="A388" s="8">
        <v>2022</v>
      </c>
      <c r="B388" s="8" t="s">
        <v>169</v>
      </c>
      <c r="C388" s="8" t="s">
        <v>170</v>
      </c>
      <c r="D388" s="8" t="s">
        <v>121</v>
      </c>
      <c r="E388" s="8" t="s">
        <v>171</v>
      </c>
      <c r="F388" s="8">
        <v>8.36</v>
      </c>
      <c r="G388" s="8">
        <v>29.1</v>
      </c>
      <c r="H388" s="8">
        <v>2.4300000000000002</v>
      </c>
      <c r="I388" s="8">
        <v>1</v>
      </c>
      <c r="J388" s="8">
        <v>0.84</v>
      </c>
      <c r="K388" s="2" t="str">
        <f t="shared" si="24"/>
        <v>Actual</v>
      </c>
      <c r="L388" s="1">
        <f t="shared" si="25"/>
        <v>11.9617224880383</v>
      </c>
      <c r="M388" s="1">
        <f t="shared" si="26"/>
        <v>10.047846889952201</v>
      </c>
      <c r="N388" s="1" t="str">
        <f t="shared" si="27"/>
        <v>Manufacturer</v>
      </c>
    </row>
    <row r="389" spans="1:14">
      <c r="A389" s="8">
        <v>2023</v>
      </c>
      <c r="B389" s="8" t="s">
        <v>169</v>
      </c>
      <c r="C389" s="8" t="s">
        <v>170</v>
      </c>
      <c r="D389" s="8" t="s">
        <v>121</v>
      </c>
      <c r="E389" s="8" t="s">
        <v>171</v>
      </c>
      <c r="F389" s="8">
        <v>8.3000000000000007</v>
      </c>
      <c r="G389" s="8">
        <v>25.6</v>
      </c>
      <c r="H389" s="8">
        <v>2.13</v>
      </c>
      <c r="I389" s="8">
        <v>1</v>
      </c>
      <c r="J389" s="8">
        <v>0.83</v>
      </c>
      <c r="K389" s="2" t="str">
        <f t="shared" si="24"/>
        <v>Actual</v>
      </c>
      <c r="L389" s="1">
        <f t="shared" si="25"/>
        <v>12.048192771084301</v>
      </c>
      <c r="M389" s="1">
        <f t="shared" si="26"/>
        <v>10</v>
      </c>
      <c r="N389" s="1" t="str">
        <f t="shared" si="27"/>
        <v>Manufacturer</v>
      </c>
    </row>
    <row r="390" spans="1:14">
      <c r="A390" s="8">
        <v>2024</v>
      </c>
      <c r="B390" s="8" t="s">
        <v>169</v>
      </c>
      <c r="C390" s="8" t="s">
        <v>170</v>
      </c>
      <c r="D390" s="8" t="s">
        <v>121</v>
      </c>
      <c r="E390" s="8" t="s">
        <v>171</v>
      </c>
      <c r="F390" s="8">
        <v>6.87</v>
      </c>
      <c r="G390" s="8">
        <v>26.2</v>
      </c>
      <c r="H390" s="8">
        <v>1.8</v>
      </c>
      <c r="I390" s="8">
        <v>0.82</v>
      </c>
      <c r="J390" s="8">
        <v>0.69</v>
      </c>
      <c r="K390" s="2" t="str">
        <f t="shared" si="24"/>
        <v>Actual</v>
      </c>
      <c r="L390" s="1">
        <f t="shared" si="25"/>
        <v>11.9359534206696</v>
      </c>
      <c r="M390" s="1">
        <f t="shared" si="26"/>
        <v>10.0436681222707</v>
      </c>
      <c r="N390" s="1" t="str">
        <f t="shared" si="27"/>
        <v>Manufacturer</v>
      </c>
    </row>
    <row r="391" spans="1:14">
      <c r="A391" s="8">
        <v>2025</v>
      </c>
      <c r="B391" s="8" t="s">
        <v>169</v>
      </c>
      <c r="C391" s="8" t="s">
        <v>170</v>
      </c>
      <c r="D391" s="8" t="s">
        <v>121</v>
      </c>
      <c r="E391" s="8" t="s">
        <v>171</v>
      </c>
      <c r="F391" s="8">
        <v>8.06</v>
      </c>
      <c r="G391" s="8">
        <v>21.1</v>
      </c>
      <c r="H391" s="8">
        <v>1.7</v>
      </c>
      <c r="I391" s="8">
        <v>0.97</v>
      </c>
      <c r="J391" s="8">
        <v>0.81</v>
      </c>
      <c r="K391" s="2" t="str">
        <f t="shared" si="24"/>
        <v>Forecast</v>
      </c>
      <c r="L391" s="1">
        <f t="shared" si="25"/>
        <v>12.0347394540943</v>
      </c>
      <c r="M391" s="1">
        <f t="shared" si="26"/>
        <v>10.049627791563299</v>
      </c>
      <c r="N391" s="1" t="str">
        <f t="shared" si="27"/>
        <v>Manufacturer</v>
      </c>
    </row>
    <row r="392" spans="1:14">
      <c r="A392" s="8">
        <v>2026</v>
      </c>
      <c r="B392" s="8" t="s">
        <v>169</v>
      </c>
      <c r="C392" s="8" t="s">
        <v>170</v>
      </c>
      <c r="D392" s="8" t="s">
        <v>121</v>
      </c>
      <c r="E392" s="8" t="s">
        <v>171</v>
      </c>
      <c r="F392" s="8">
        <v>8.99</v>
      </c>
      <c r="G392" s="8">
        <v>24.8</v>
      </c>
      <c r="H392" s="8">
        <v>2.23</v>
      </c>
      <c r="I392" s="8">
        <v>1.08</v>
      </c>
      <c r="J392" s="8">
        <v>0.9</v>
      </c>
      <c r="K392" s="2" t="str">
        <f t="shared" si="24"/>
        <v>Forecast</v>
      </c>
      <c r="L392" s="1">
        <f t="shared" si="25"/>
        <v>12.0133481646274</v>
      </c>
      <c r="M392" s="1">
        <f t="shared" si="26"/>
        <v>10.011123470522801</v>
      </c>
      <c r="N392" s="1" t="str">
        <f t="shared" si="27"/>
        <v>Manufacturer</v>
      </c>
    </row>
    <row r="393" spans="1:14">
      <c r="A393" s="8">
        <v>2010</v>
      </c>
      <c r="B393" s="8" t="s">
        <v>172</v>
      </c>
      <c r="C393" s="8" t="s">
        <v>172</v>
      </c>
      <c r="D393" s="8" t="s">
        <v>163</v>
      </c>
      <c r="E393" s="8" t="s">
        <v>173</v>
      </c>
      <c r="F393" s="8">
        <v>6.65</v>
      </c>
      <c r="G393" s="8">
        <v>37.700000000000003</v>
      </c>
      <c r="H393" s="8">
        <v>2.5099999999999998</v>
      </c>
      <c r="I393" s="8">
        <v>1.06</v>
      </c>
      <c r="J393" s="8">
        <v>0.4</v>
      </c>
      <c r="K393" s="2" t="str">
        <f t="shared" si="24"/>
        <v>Actual</v>
      </c>
      <c r="L393" s="1">
        <f t="shared" si="25"/>
        <v>15.9398496240602</v>
      </c>
      <c r="M393" s="1">
        <f t="shared" si="26"/>
        <v>6.0150375939849603</v>
      </c>
      <c r="N393" s="1" t="str">
        <f t="shared" si="27"/>
        <v>Equipment</v>
      </c>
    </row>
    <row r="394" spans="1:14">
      <c r="A394" s="8">
        <v>2011</v>
      </c>
      <c r="B394" s="8" t="s">
        <v>172</v>
      </c>
      <c r="C394" s="8" t="s">
        <v>172</v>
      </c>
      <c r="D394" s="8" t="s">
        <v>163</v>
      </c>
      <c r="E394" s="8" t="s">
        <v>173</v>
      </c>
      <c r="F394" s="8">
        <v>6.44</v>
      </c>
      <c r="G394" s="8">
        <v>35.700000000000003</v>
      </c>
      <c r="H394" s="8">
        <v>2.2999999999999998</v>
      </c>
      <c r="I394" s="8">
        <v>1.03</v>
      </c>
      <c r="J394" s="8">
        <v>0.39</v>
      </c>
      <c r="K394" s="2" t="str">
        <f t="shared" si="24"/>
        <v>Actual</v>
      </c>
      <c r="L394" s="1">
        <f t="shared" si="25"/>
        <v>15.9937888198758</v>
      </c>
      <c r="M394" s="1">
        <f t="shared" si="26"/>
        <v>6.0559006211180098</v>
      </c>
      <c r="N394" s="1" t="str">
        <f t="shared" si="27"/>
        <v>Equipment</v>
      </c>
    </row>
    <row r="395" spans="1:14">
      <c r="A395" s="8">
        <v>2012</v>
      </c>
      <c r="B395" s="8" t="s">
        <v>172</v>
      </c>
      <c r="C395" s="8" t="s">
        <v>172</v>
      </c>
      <c r="D395" s="8" t="s">
        <v>163</v>
      </c>
      <c r="E395" s="8" t="s">
        <v>173</v>
      </c>
      <c r="F395" s="8">
        <v>6.59</v>
      </c>
      <c r="G395" s="8">
        <v>34.4</v>
      </c>
      <c r="H395" s="8">
        <v>2.27</v>
      </c>
      <c r="I395" s="8">
        <v>1.05</v>
      </c>
      <c r="J395" s="8">
        <v>0.4</v>
      </c>
      <c r="K395" s="2" t="str">
        <f t="shared" si="24"/>
        <v>Actual</v>
      </c>
      <c r="L395" s="1">
        <f t="shared" si="25"/>
        <v>15.933232169954501</v>
      </c>
      <c r="M395" s="1">
        <f t="shared" si="26"/>
        <v>6.0698027314112304</v>
      </c>
      <c r="N395" s="1" t="str">
        <f t="shared" si="27"/>
        <v>Equipment</v>
      </c>
    </row>
    <row r="396" spans="1:14">
      <c r="A396" s="8">
        <v>2013</v>
      </c>
      <c r="B396" s="8" t="s">
        <v>172</v>
      </c>
      <c r="C396" s="8" t="s">
        <v>172</v>
      </c>
      <c r="D396" s="8" t="s">
        <v>163</v>
      </c>
      <c r="E396" s="8" t="s">
        <v>173</v>
      </c>
      <c r="F396" s="8">
        <v>6.51</v>
      </c>
      <c r="G396" s="8">
        <v>34.5</v>
      </c>
      <c r="H396" s="8">
        <v>2.25</v>
      </c>
      <c r="I396" s="8">
        <v>1.04</v>
      </c>
      <c r="J396" s="8">
        <v>0.39</v>
      </c>
      <c r="K396" s="2" t="str">
        <f t="shared" si="24"/>
        <v>Actual</v>
      </c>
      <c r="L396" s="1">
        <f t="shared" si="25"/>
        <v>15.9754224270353</v>
      </c>
      <c r="M396" s="1">
        <f t="shared" si="26"/>
        <v>5.99078341013825</v>
      </c>
      <c r="N396" s="1" t="str">
        <f t="shared" si="27"/>
        <v>Equipment</v>
      </c>
    </row>
    <row r="397" spans="1:14">
      <c r="A397" s="8">
        <v>2014</v>
      </c>
      <c r="B397" s="8" t="s">
        <v>172</v>
      </c>
      <c r="C397" s="8" t="s">
        <v>172</v>
      </c>
      <c r="D397" s="8" t="s">
        <v>163</v>
      </c>
      <c r="E397" s="8" t="s">
        <v>173</v>
      </c>
      <c r="F397" s="8">
        <v>6.71</v>
      </c>
      <c r="G397" s="8">
        <v>31.2</v>
      </c>
      <c r="H397" s="8">
        <v>2.1</v>
      </c>
      <c r="I397" s="8">
        <v>1.07</v>
      </c>
      <c r="J397" s="8">
        <v>0.4</v>
      </c>
      <c r="K397" s="2" t="str">
        <f t="shared" si="24"/>
        <v>Actual</v>
      </c>
      <c r="L397" s="1">
        <f t="shared" si="25"/>
        <v>15.946348733234</v>
      </c>
      <c r="M397" s="1">
        <f t="shared" si="26"/>
        <v>5.9612518628912099</v>
      </c>
      <c r="N397" s="1" t="str">
        <f t="shared" si="27"/>
        <v>Equipment</v>
      </c>
    </row>
    <row r="398" spans="1:14">
      <c r="A398" s="8">
        <v>2015</v>
      </c>
      <c r="B398" s="8" t="s">
        <v>172</v>
      </c>
      <c r="C398" s="8" t="s">
        <v>172</v>
      </c>
      <c r="D398" s="8" t="s">
        <v>163</v>
      </c>
      <c r="E398" s="8" t="s">
        <v>173</v>
      </c>
      <c r="F398" s="8">
        <v>7.11</v>
      </c>
      <c r="G398" s="8">
        <v>36.200000000000003</v>
      </c>
      <c r="H398" s="8">
        <v>2.57</v>
      </c>
      <c r="I398" s="8">
        <v>1.1399999999999999</v>
      </c>
      <c r="J398" s="8">
        <v>0.43</v>
      </c>
      <c r="K398" s="2" t="str">
        <f t="shared" si="24"/>
        <v>Actual</v>
      </c>
      <c r="L398" s="1">
        <f t="shared" si="25"/>
        <v>16.033755274261601</v>
      </c>
      <c r="M398" s="1">
        <f t="shared" si="26"/>
        <v>6.0478199718705996</v>
      </c>
      <c r="N398" s="1" t="str">
        <f t="shared" si="27"/>
        <v>Equipment</v>
      </c>
    </row>
    <row r="399" spans="1:14">
      <c r="A399" s="8">
        <v>2016</v>
      </c>
      <c r="B399" s="8" t="s">
        <v>172</v>
      </c>
      <c r="C399" s="8" t="s">
        <v>172</v>
      </c>
      <c r="D399" s="8" t="s">
        <v>163</v>
      </c>
      <c r="E399" s="8" t="s">
        <v>173</v>
      </c>
      <c r="F399" s="8">
        <v>8.2100000000000009</v>
      </c>
      <c r="G399" s="8">
        <v>34.6</v>
      </c>
      <c r="H399" s="8">
        <v>2.84</v>
      </c>
      <c r="I399" s="8">
        <v>1.31</v>
      </c>
      <c r="J399" s="8">
        <v>0.49</v>
      </c>
      <c r="K399" s="2" t="str">
        <f t="shared" si="24"/>
        <v>Actual</v>
      </c>
      <c r="L399" s="1">
        <f t="shared" si="25"/>
        <v>15.956151035322801</v>
      </c>
      <c r="M399" s="1">
        <f t="shared" si="26"/>
        <v>5.9683313032886698</v>
      </c>
      <c r="N399" s="1" t="str">
        <f t="shared" si="27"/>
        <v>Equipment</v>
      </c>
    </row>
    <row r="400" spans="1:14">
      <c r="A400" s="8">
        <v>2017</v>
      </c>
      <c r="B400" s="8" t="s">
        <v>172</v>
      </c>
      <c r="C400" s="8" t="s">
        <v>172</v>
      </c>
      <c r="D400" s="8" t="s">
        <v>163</v>
      </c>
      <c r="E400" s="8" t="s">
        <v>173</v>
      </c>
      <c r="F400" s="8">
        <v>10.65</v>
      </c>
      <c r="G400" s="8">
        <v>38.200000000000003</v>
      </c>
      <c r="H400" s="8">
        <v>4.0599999999999996</v>
      </c>
      <c r="I400" s="8">
        <v>1.7</v>
      </c>
      <c r="J400" s="8">
        <v>0.64</v>
      </c>
      <c r="K400" s="2" t="str">
        <f t="shared" si="24"/>
        <v>Actual</v>
      </c>
      <c r="L400" s="1">
        <f t="shared" si="25"/>
        <v>15.962441314554001</v>
      </c>
      <c r="M400" s="1">
        <f t="shared" si="26"/>
        <v>6.0093896713615003</v>
      </c>
      <c r="N400" s="1" t="str">
        <f t="shared" si="27"/>
        <v>Equipment</v>
      </c>
    </row>
    <row r="401" spans="1:14">
      <c r="A401" s="8">
        <v>2018</v>
      </c>
      <c r="B401" s="8" t="s">
        <v>172</v>
      </c>
      <c r="C401" s="8" t="s">
        <v>172</v>
      </c>
      <c r="D401" s="8" t="s">
        <v>163</v>
      </c>
      <c r="E401" s="8" t="s">
        <v>173</v>
      </c>
      <c r="F401" s="8">
        <v>12.38</v>
      </c>
      <c r="G401" s="8">
        <v>35.1</v>
      </c>
      <c r="H401" s="8">
        <v>4.3499999999999996</v>
      </c>
      <c r="I401" s="8">
        <v>1.98</v>
      </c>
      <c r="J401" s="8">
        <v>0.74</v>
      </c>
      <c r="K401" s="2" t="str">
        <f t="shared" si="24"/>
        <v>Actual</v>
      </c>
      <c r="L401" s="1">
        <f t="shared" si="25"/>
        <v>15.993537964458801</v>
      </c>
      <c r="M401" s="1">
        <f t="shared" si="26"/>
        <v>5.9773828756058203</v>
      </c>
      <c r="N401" s="1" t="str">
        <f t="shared" si="27"/>
        <v>Equipment</v>
      </c>
    </row>
    <row r="402" spans="1:14">
      <c r="A402" s="8">
        <v>2019</v>
      </c>
      <c r="B402" s="8" t="s">
        <v>172</v>
      </c>
      <c r="C402" s="8" t="s">
        <v>172</v>
      </c>
      <c r="D402" s="8" t="s">
        <v>163</v>
      </c>
      <c r="E402" s="8" t="s">
        <v>173</v>
      </c>
      <c r="F402" s="8">
        <v>13.65</v>
      </c>
      <c r="G402" s="8">
        <v>31.7</v>
      </c>
      <c r="H402" s="8">
        <v>4.33</v>
      </c>
      <c r="I402" s="8">
        <v>2.1800000000000002</v>
      </c>
      <c r="J402" s="8">
        <v>0.82</v>
      </c>
      <c r="K402" s="2" t="str">
        <f t="shared" si="24"/>
        <v>Actual</v>
      </c>
      <c r="L402" s="1">
        <f t="shared" si="25"/>
        <v>15.970695970695999</v>
      </c>
      <c r="M402" s="1">
        <f t="shared" si="26"/>
        <v>6.00732600732601</v>
      </c>
      <c r="N402" s="1" t="str">
        <f t="shared" si="27"/>
        <v>Equipment</v>
      </c>
    </row>
    <row r="403" spans="1:14">
      <c r="A403" s="8">
        <v>2020</v>
      </c>
      <c r="B403" s="8" t="s">
        <v>172</v>
      </c>
      <c r="C403" s="8" t="s">
        <v>172</v>
      </c>
      <c r="D403" s="8" t="s">
        <v>163</v>
      </c>
      <c r="E403" s="8" t="s">
        <v>173</v>
      </c>
      <c r="F403" s="8">
        <v>16.170000000000002</v>
      </c>
      <c r="G403" s="8">
        <v>36.1</v>
      </c>
      <c r="H403" s="8">
        <v>5.84</v>
      </c>
      <c r="I403" s="8">
        <v>2.59</v>
      </c>
      <c r="J403" s="8">
        <v>0.97</v>
      </c>
      <c r="K403" s="2" t="str">
        <f t="shared" si="24"/>
        <v>Actual</v>
      </c>
      <c r="L403" s="1">
        <f t="shared" si="25"/>
        <v>16.017316017315999</v>
      </c>
      <c r="M403" s="1">
        <f t="shared" si="26"/>
        <v>5.9987631416202802</v>
      </c>
      <c r="N403" s="1" t="str">
        <f t="shared" si="27"/>
        <v>Equipment</v>
      </c>
    </row>
    <row r="404" spans="1:14">
      <c r="A404" s="8">
        <v>2021</v>
      </c>
      <c r="B404" s="8" t="s">
        <v>172</v>
      </c>
      <c r="C404" s="8" t="s">
        <v>172</v>
      </c>
      <c r="D404" s="8" t="s">
        <v>163</v>
      </c>
      <c r="E404" s="8" t="s">
        <v>173</v>
      </c>
      <c r="F404" s="8">
        <v>20.79</v>
      </c>
      <c r="G404" s="8">
        <v>38.299999999999997</v>
      </c>
      <c r="H404" s="8">
        <v>7.96</v>
      </c>
      <c r="I404" s="8">
        <v>3.33</v>
      </c>
      <c r="J404" s="8">
        <v>1.25</v>
      </c>
      <c r="K404" s="2" t="str">
        <f t="shared" si="24"/>
        <v>Actual</v>
      </c>
      <c r="L404" s="1">
        <f t="shared" si="25"/>
        <v>16.017316017315999</v>
      </c>
      <c r="M404" s="1">
        <f t="shared" si="26"/>
        <v>6.0125060125060097</v>
      </c>
      <c r="N404" s="1" t="str">
        <f t="shared" si="27"/>
        <v>Equipment</v>
      </c>
    </row>
    <row r="405" spans="1:14">
      <c r="A405" s="8">
        <v>2022</v>
      </c>
      <c r="B405" s="8" t="s">
        <v>172</v>
      </c>
      <c r="C405" s="8" t="s">
        <v>172</v>
      </c>
      <c r="D405" s="8" t="s">
        <v>163</v>
      </c>
      <c r="E405" s="8" t="s">
        <v>173</v>
      </c>
      <c r="F405" s="8">
        <v>23.9</v>
      </c>
      <c r="G405" s="8">
        <v>31.3</v>
      </c>
      <c r="H405" s="8">
        <v>7.47</v>
      </c>
      <c r="I405" s="8">
        <v>3.82</v>
      </c>
      <c r="J405" s="8">
        <v>1.43</v>
      </c>
      <c r="K405" s="2" t="str">
        <f t="shared" si="24"/>
        <v>Actual</v>
      </c>
      <c r="L405" s="1">
        <f t="shared" si="25"/>
        <v>15.983263598326401</v>
      </c>
      <c r="M405" s="1">
        <f t="shared" si="26"/>
        <v>5.98326359832636</v>
      </c>
      <c r="N405" s="1" t="str">
        <f t="shared" si="27"/>
        <v>Equipment</v>
      </c>
    </row>
    <row r="406" spans="1:14">
      <c r="A406" s="8">
        <v>2023</v>
      </c>
      <c r="B406" s="8" t="s">
        <v>172</v>
      </c>
      <c r="C406" s="8" t="s">
        <v>172</v>
      </c>
      <c r="D406" s="8" t="s">
        <v>163</v>
      </c>
      <c r="E406" s="8" t="s">
        <v>173</v>
      </c>
      <c r="F406" s="8">
        <v>30.31</v>
      </c>
      <c r="G406" s="8">
        <v>35.700000000000003</v>
      </c>
      <c r="H406" s="8">
        <v>10.81</v>
      </c>
      <c r="I406" s="8">
        <v>4.8499999999999996</v>
      </c>
      <c r="J406" s="8">
        <v>1.82</v>
      </c>
      <c r="K406" s="2" t="str">
        <f t="shared" si="24"/>
        <v>Actual</v>
      </c>
      <c r="L406" s="1">
        <f t="shared" si="25"/>
        <v>16.0013196964698</v>
      </c>
      <c r="M406" s="1">
        <f t="shared" si="26"/>
        <v>6.0046189376443397</v>
      </c>
      <c r="N406" s="1" t="str">
        <f t="shared" si="27"/>
        <v>Equipment</v>
      </c>
    </row>
    <row r="407" spans="1:14">
      <c r="A407" s="8">
        <v>2024</v>
      </c>
      <c r="B407" s="8" t="s">
        <v>172</v>
      </c>
      <c r="C407" s="8" t="s">
        <v>172</v>
      </c>
      <c r="D407" s="8" t="s">
        <v>163</v>
      </c>
      <c r="E407" s="8" t="s">
        <v>173</v>
      </c>
      <c r="F407" s="8">
        <v>31.81</v>
      </c>
      <c r="G407" s="8">
        <v>33.299999999999997</v>
      </c>
      <c r="H407" s="8">
        <v>10.58</v>
      </c>
      <c r="I407" s="8">
        <v>5.09</v>
      </c>
      <c r="J407" s="8">
        <v>1.91</v>
      </c>
      <c r="K407" s="2" t="str">
        <f t="shared" si="24"/>
        <v>Actual</v>
      </c>
      <c r="L407" s="1">
        <f t="shared" si="25"/>
        <v>16.001257466205601</v>
      </c>
      <c r="M407" s="1">
        <f t="shared" si="26"/>
        <v>6.0044011317195896</v>
      </c>
      <c r="N407" s="1" t="str">
        <f t="shared" si="27"/>
        <v>Equipment</v>
      </c>
    </row>
    <row r="408" spans="1:14">
      <c r="A408" s="8">
        <v>2025</v>
      </c>
      <c r="B408" s="8" t="s">
        <v>172</v>
      </c>
      <c r="C408" s="8" t="s">
        <v>172</v>
      </c>
      <c r="D408" s="8" t="s">
        <v>163</v>
      </c>
      <c r="E408" s="8" t="s">
        <v>173</v>
      </c>
      <c r="F408" s="8">
        <v>38.79</v>
      </c>
      <c r="G408" s="8">
        <v>33.5</v>
      </c>
      <c r="H408" s="8">
        <v>12.99</v>
      </c>
      <c r="I408" s="8">
        <v>6.21</v>
      </c>
      <c r="J408" s="8">
        <v>2.33</v>
      </c>
      <c r="K408" s="2" t="str">
        <f t="shared" si="24"/>
        <v>Forecast</v>
      </c>
      <c r="L408" s="1">
        <f t="shared" si="25"/>
        <v>16.009280742459399</v>
      </c>
      <c r="M408" s="1">
        <f t="shared" si="26"/>
        <v>6.0067027584429002</v>
      </c>
      <c r="N408" s="1" t="str">
        <f t="shared" si="27"/>
        <v>Equipment</v>
      </c>
    </row>
    <row r="409" spans="1:14">
      <c r="A409" s="8">
        <v>2026</v>
      </c>
      <c r="B409" s="8" t="s">
        <v>172</v>
      </c>
      <c r="C409" s="8" t="s">
        <v>172</v>
      </c>
      <c r="D409" s="8" t="s">
        <v>163</v>
      </c>
      <c r="E409" s="8" t="s">
        <v>173</v>
      </c>
      <c r="F409" s="8">
        <v>44.16</v>
      </c>
      <c r="G409" s="8">
        <v>35.9</v>
      </c>
      <c r="H409" s="8">
        <v>15.87</v>
      </c>
      <c r="I409" s="8">
        <v>7.07</v>
      </c>
      <c r="J409" s="8">
        <v>2.65</v>
      </c>
      <c r="K409" s="2" t="str">
        <f t="shared" si="24"/>
        <v>Forecast</v>
      </c>
      <c r="L409" s="1">
        <f t="shared" si="25"/>
        <v>16.009963768115899</v>
      </c>
      <c r="M409" s="1">
        <f t="shared" si="26"/>
        <v>6.0009057971014501</v>
      </c>
      <c r="N409" s="1" t="str">
        <f t="shared" si="27"/>
        <v>Equipment</v>
      </c>
    </row>
    <row r="410" spans="1:14">
      <c r="A410" s="8">
        <v>2010</v>
      </c>
      <c r="B410" s="8" t="s">
        <v>174</v>
      </c>
      <c r="C410" s="8" t="s">
        <v>175</v>
      </c>
      <c r="D410" s="8" t="s">
        <v>121</v>
      </c>
      <c r="E410" s="8" t="s">
        <v>176</v>
      </c>
      <c r="F410" s="8">
        <v>9.39</v>
      </c>
      <c r="G410" s="8">
        <v>30.7</v>
      </c>
      <c r="H410" s="8">
        <v>2.88</v>
      </c>
      <c r="I410" s="8">
        <v>1.1299999999999999</v>
      </c>
      <c r="J410" s="8">
        <v>0.94</v>
      </c>
      <c r="K410" s="2" t="str">
        <f t="shared" si="24"/>
        <v>Actual</v>
      </c>
      <c r="L410" s="1">
        <f t="shared" si="25"/>
        <v>12.0340788072417</v>
      </c>
      <c r="M410" s="1">
        <f t="shared" si="26"/>
        <v>10.010649627263</v>
      </c>
      <c r="N410" s="1" t="str">
        <f t="shared" si="27"/>
        <v>Equipment</v>
      </c>
    </row>
    <row r="411" spans="1:14">
      <c r="A411" s="8">
        <v>2011</v>
      </c>
      <c r="B411" s="8" t="s">
        <v>174</v>
      </c>
      <c r="C411" s="8" t="s">
        <v>175</v>
      </c>
      <c r="D411" s="8" t="s">
        <v>121</v>
      </c>
      <c r="E411" s="8" t="s">
        <v>176</v>
      </c>
      <c r="F411" s="8">
        <v>9.56</v>
      </c>
      <c r="G411" s="8">
        <v>26.6</v>
      </c>
      <c r="H411" s="8">
        <v>2.54</v>
      </c>
      <c r="I411" s="8">
        <v>1.1499999999999999</v>
      </c>
      <c r="J411" s="8">
        <v>0.96</v>
      </c>
      <c r="K411" s="2" t="str">
        <f t="shared" si="24"/>
        <v>Actual</v>
      </c>
      <c r="L411" s="1">
        <f t="shared" si="25"/>
        <v>12.0292887029289</v>
      </c>
      <c r="M411" s="1">
        <f t="shared" si="26"/>
        <v>10.0418410041841</v>
      </c>
      <c r="N411" s="1" t="str">
        <f t="shared" si="27"/>
        <v>Equipment</v>
      </c>
    </row>
    <row r="412" spans="1:14">
      <c r="A412" s="8">
        <v>2012</v>
      </c>
      <c r="B412" s="8" t="s">
        <v>174</v>
      </c>
      <c r="C412" s="8" t="s">
        <v>175</v>
      </c>
      <c r="D412" s="8" t="s">
        <v>121</v>
      </c>
      <c r="E412" s="8" t="s">
        <v>176</v>
      </c>
      <c r="F412" s="8">
        <v>9.32</v>
      </c>
      <c r="G412" s="8">
        <v>34.299999999999997</v>
      </c>
      <c r="H412" s="8">
        <v>3.2</v>
      </c>
      <c r="I412" s="8">
        <v>1.1200000000000001</v>
      </c>
      <c r="J412" s="8">
        <v>0.93</v>
      </c>
      <c r="K412" s="2" t="str">
        <f t="shared" si="24"/>
        <v>Actual</v>
      </c>
      <c r="L412" s="1">
        <f t="shared" si="25"/>
        <v>12.0171673819743</v>
      </c>
      <c r="M412" s="1">
        <f t="shared" si="26"/>
        <v>9.97854077253219</v>
      </c>
      <c r="N412" s="1" t="str">
        <f t="shared" si="27"/>
        <v>Equipment</v>
      </c>
    </row>
    <row r="413" spans="1:14">
      <c r="A413" s="8">
        <v>2013</v>
      </c>
      <c r="B413" s="8" t="s">
        <v>174</v>
      </c>
      <c r="C413" s="8" t="s">
        <v>175</v>
      </c>
      <c r="D413" s="8" t="s">
        <v>121</v>
      </c>
      <c r="E413" s="8" t="s">
        <v>176</v>
      </c>
      <c r="F413" s="8">
        <v>9.1199999999999992</v>
      </c>
      <c r="G413" s="8">
        <v>23.7</v>
      </c>
      <c r="H413" s="8">
        <v>2.16</v>
      </c>
      <c r="I413" s="8">
        <v>1.0900000000000001</v>
      </c>
      <c r="J413" s="8">
        <v>0.91</v>
      </c>
      <c r="K413" s="2" t="str">
        <f t="shared" si="24"/>
        <v>Actual</v>
      </c>
      <c r="L413" s="1">
        <f t="shared" si="25"/>
        <v>11.9517543859649</v>
      </c>
      <c r="M413" s="1">
        <f t="shared" si="26"/>
        <v>9.9780701754385994</v>
      </c>
      <c r="N413" s="1" t="str">
        <f t="shared" si="27"/>
        <v>Equipment</v>
      </c>
    </row>
    <row r="414" spans="1:14">
      <c r="A414" s="8">
        <v>2014</v>
      </c>
      <c r="B414" s="8" t="s">
        <v>174</v>
      </c>
      <c r="C414" s="8" t="s">
        <v>175</v>
      </c>
      <c r="D414" s="8" t="s">
        <v>121</v>
      </c>
      <c r="E414" s="8" t="s">
        <v>176</v>
      </c>
      <c r="F414" s="8">
        <v>8.91</v>
      </c>
      <c r="G414" s="8">
        <v>30.1</v>
      </c>
      <c r="H414" s="8">
        <v>2.68</v>
      </c>
      <c r="I414" s="8">
        <v>1.07</v>
      </c>
      <c r="J414" s="8">
        <v>0.89</v>
      </c>
      <c r="K414" s="2" t="str">
        <f t="shared" si="24"/>
        <v>Actual</v>
      </c>
      <c r="L414" s="1">
        <f t="shared" si="25"/>
        <v>12.008978675645301</v>
      </c>
      <c r="M414" s="1">
        <f t="shared" si="26"/>
        <v>9.9887766554433206</v>
      </c>
      <c r="N414" s="1" t="str">
        <f t="shared" si="27"/>
        <v>Equipment</v>
      </c>
    </row>
    <row r="415" spans="1:14">
      <c r="A415" s="8">
        <v>2015</v>
      </c>
      <c r="B415" s="8" t="s">
        <v>174</v>
      </c>
      <c r="C415" s="8" t="s">
        <v>175</v>
      </c>
      <c r="D415" s="8" t="s">
        <v>121</v>
      </c>
      <c r="E415" s="8" t="s">
        <v>176</v>
      </c>
      <c r="F415" s="8">
        <v>9.41</v>
      </c>
      <c r="G415" s="8">
        <v>29.6</v>
      </c>
      <c r="H415" s="8">
        <v>2.79</v>
      </c>
      <c r="I415" s="8">
        <v>1.1299999999999999</v>
      </c>
      <c r="J415" s="8">
        <v>0.94</v>
      </c>
      <c r="K415" s="2" t="str">
        <f t="shared" si="24"/>
        <v>Actual</v>
      </c>
      <c r="L415" s="1">
        <f t="shared" si="25"/>
        <v>12.0085015940489</v>
      </c>
      <c r="M415" s="1">
        <f t="shared" si="26"/>
        <v>9.9893730074388891</v>
      </c>
      <c r="N415" s="1" t="str">
        <f t="shared" si="27"/>
        <v>Equipment</v>
      </c>
    </row>
    <row r="416" spans="1:14">
      <c r="A416" s="8">
        <v>2016</v>
      </c>
      <c r="B416" s="8" t="s">
        <v>174</v>
      </c>
      <c r="C416" s="8" t="s">
        <v>175</v>
      </c>
      <c r="D416" s="8" t="s">
        <v>121</v>
      </c>
      <c r="E416" s="8" t="s">
        <v>176</v>
      </c>
      <c r="F416" s="8">
        <v>12.27</v>
      </c>
      <c r="G416" s="8">
        <v>22</v>
      </c>
      <c r="H416" s="8">
        <v>2.7</v>
      </c>
      <c r="I416" s="8">
        <v>1.47</v>
      </c>
      <c r="J416" s="8">
        <v>1.23</v>
      </c>
      <c r="K416" s="2" t="str">
        <f t="shared" si="24"/>
        <v>Actual</v>
      </c>
      <c r="L416" s="1">
        <f t="shared" si="25"/>
        <v>11.9804400977995</v>
      </c>
      <c r="M416" s="1">
        <f t="shared" si="26"/>
        <v>10.0244498777506</v>
      </c>
      <c r="N416" s="1" t="str">
        <f t="shared" si="27"/>
        <v>Equipment</v>
      </c>
    </row>
    <row r="417" spans="1:14">
      <c r="A417" s="8">
        <v>2017</v>
      </c>
      <c r="B417" s="8" t="s">
        <v>174</v>
      </c>
      <c r="C417" s="8" t="s">
        <v>175</v>
      </c>
      <c r="D417" s="8" t="s">
        <v>121</v>
      </c>
      <c r="E417" s="8" t="s">
        <v>176</v>
      </c>
      <c r="F417" s="8">
        <v>14.44</v>
      </c>
      <c r="G417" s="8">
        <v>34.700000000000003</v>
      </c>
      <c r="H417" s="8">
        <v>5.01</v>
      </c>
      <c r="I417" s="8">
        <v>1.73</v>
      </c>
      <c r="J417" s="8">
        <v>1.44</v>
      </c>
      <c r="K417" s="2" t="str">
        <f t="shared" si="24"/>
        <v>Actual</v>
      </c>
      <c r="L417" s="1">
        <f t="shared" si="25"/>
        <v>11.9806094182825</v>
      </c>
      <c r="M417" s="1">
        <f t="shared" si="26"/>
        <v>9.97229916897507</v>
      </c>
      <c r="N417" s="1" t="str">
        <f t="shared" si="27"/>
        <v>Equipment</v>
      </c>
    </row>
    <row r="418" spans="1:14">
      <c r="A418" s="8">
        <v>2018</v>
      </c>
      <c r="B418" s="8" t="s">
        <v>174</v>
      </c>
      <c r="C418" s="8" t="s">
        <v>175</v>
      </c>
      <c r="D418" s="8" t="s">
        <v>121</v>
      </c>
      <c r="E418" s="8" t="s">
        <v>176</v>
      </c>
      <c r="F418" s="8">
        <v>16.14</v>
      </c>
      <c r="G418" s="8">
        <v>28.9</v>
      </c>
      <c r="H418" s="8">
        <v>4.66</v>
      </c>
      <c r="I418" s="8">
        <v>1.94</v>
      </c>
      <c r="J418" s="8">
        <v>1.61</v>
      </c>
      <c r="K418" s="2" t="str">
        <f t="shared" si="24"/>
        <v>Actual</v>
      </c>
      <c r="L418" s="1">
        <f t="shared" si="25"/>
        <v>12.0198265179678</v>
      </c>
      <c r="M418" s="1">
        <f t="shared" si="26"/>
        <v>9.9752168525402691</v>
      </c>
      <c r="N418" s="1" t="str">
        <f t="shared" si="27"/>
        <v>Equipment</v>
      </c>
    </row>
    <row r="419" spans="1:14">
      <c r="A419" s="8">
        <v>2019</v>
      </c>
      <c r="B419" s="8" t="s">
        <v>174</v>
      </c>
      <c r="C419" s="8" t="s">
        <v>175</v>
      </c>
      <c r="D419" s="8" t="s">
        <v>121</v>
      </c>
      <c r="E419" s="8" t="s">
        <v>176</v>
      </c>
      <c r="F419" s="8">
        <v>16.57</v>
      </c>
      <c r="G419" s="8">
        <v>27.3</v>
      </c>
      <c r="H419" s="8">
        <v>4.53</v>
      </c>
      <c r="I419" s="8">
        <v>1.99</v>
      </c>
      <c r="J419" s="8">
        <v>1.66</v>
      </c>
      <c r="K419" s="2" t="str">
        <f t="shared" si="24"/>
        <v>Actual</v>
      </c>
      <c r="L419" s="1">
        <f t="shared" si="25"/>
        <v>12.009656004828001</v>
      </c>
      <c r="M419" s="1">
        <f t="shared" si="26"/>
        <v>10.018105009052499</v>
      </c>
      <c r="N419" s="1" t="str">
        <f t="shared" si="27"/>
        <v>Equipment</v>
      </c>
    </row>
    <row r="420" spans="1:14">
      <c r="A420" s="8">
        <v>2020</v>
      </c>
      <c r="B420" s="8" t="s">
        <v>174</v>
      </c>
      <c r="C420" s="8" t="s">
        <v>175</v>
      </c>
      <c r="D420" s="8" t="s">
        <v>121</v>
      </c>
      <c r="E420" s="8" t="s">
        <v>176</v>
      </c>
      <c r="F420" s="8">
        <v>17.03</v>
      </c>
      <c r="G420" s="8">
        <v>34.299999999999997</v>
      </c>
      <c r="H420" s="8">
        <v>5.84</v>
      </c>
      <c r="I420" s="8">
        <v>2.04</v>
      </c>
      <c r="J420" s="8">
        <v>1.7</v>
      </c>
      <c r="K420" s="2" t="str">
        <f t="shared" si="24"/>
        <v>Actual</v>
      </c>
      <c r="L420" s="1">
        <f t="shared" si="25"/>
        <v>11.978860833822701</v>
      </c>
      <c r="M420" s="1">
        <f t="shared" si="26"/>
        <v>9.9823840281855496</v>
      </c>
      <c r="N420" s="1" t="str">
        <f t="shared" si="27"/>
        <v>Equipment</v>
      </c>
    </row>
    <row r="421" spans="1:14">
      <c r="A421" s="8">
        <v>2021</v>
      </c>
      <c r="B421" s="8" t="s">
        <v>174</v>
      </c>
      <c r="C421" s="8" t="s">
        <v>175</v>
      </c>
      <c r="D421" s="8" t="s">
        <v>121</v>
      </c>
      <c r="E421" s="8" t="s">
        <v>176</v>
      </c>
      <c r="F421" s="8">
        <v>22.72</v>
      </c>
      <c r="G421" s="8">
        <v>29</v>
      </c>
      <c r="H421" s="8">
        <v>6.59</v>
      </c>
      <c r="I421" s="8">
        <v>2.73</v>
      </c>
      <c r="J421" s="8">
        <v>2.27</v>
      </c>
      <c r="K421" s="2" t="str">
        <f t="shared" si="24"/>
        <v>Actual</v>
      </c>
      <c r="L421" s="1">
        <f t="shared" si="25"/>
        <v>12.0158450704225</v>
      </c>
      <c r="M421" s="1">
        <f t="shared" si="26"/>
        <v>9.9911971830985902</v>
      </c>
      <c r="N421" s="1" t="str">
        <f t="shared" si="27"/>
        <v>Equipment</v>
      </c>
    </row>
    <row r="422" spans="1:14">
      <c r="A422" s="8">
        <v>2022</v>
      </c>
      <c r="B422" s="8" t="s">
        <v>174</v>
      </c>
      <c r="C422" s="8" t="s">
        <v>175</v>
      </c>
      <c r="D422" s="8" t="s">
        <v>121</v>
      </c>
      <c r="E422" s="8" t="s">
        <v>176</v>
      </c>
      <c r="F422" s="8">
        <v>27.32</v>
      </c>
      <c r="G422" s="8">
        <v>30.1</v>
      </c>
      <c r="H422" s="8">
        <v>8.2200000000000006</v>
      </c>
      <c r="I422" s="8">
        <v>3.28</v>
      </c>
      <c r="J422" s="8">
        <v>2.73</v>
      </c>
      <c r="K422" s="2" t="str">
        <f t="shared" si="24"/>
        <v>Actual</v>
      </c>
      <c r="L422" s="1">
        <f t="shared" si="25"/>
        <v>12.0058565153734</v>
      </c>
      <c r="M422" s="1">
        <f t="shared" si="26"/>
        <v>9.9926793557833093</v>
      </c>
      <c r="N422" s="1" t="str">
        <f t="shared" si="27"/>
        <v>Equipment</v>
      </c>
    </row>
    <row r="423" spans="1:14">
      <c r="A423" s="8">
        <v>2023</v>
      </c>
      <c r="B423" s="8" t="s">
        <v>174</v>
      </c>
      <c r="C423" s="8" t="s">
        <v>175</v>
      </c>
      <c r="D423" s="8" t="s">
        <v>121</v>
      </c>
      <c r="E423" s="8" t="s">
        <v>176</v>
      </c>
      <c r="F423" s="8">
        <v>27.93</v>
      </c>
      <c r="G423" s="8">
        <v>29.7</v>
      </c>
      <c r="H423" s="8">
        <v>8.3000000000000007</v>
      </c>
      <c r="I423" s="8">
        <v>3.35</v>
      </c>
      <c r="J423" s="8">
        <v>2.79</v>
      </c>
      <c r="K423" s="2" t="str">
        <f t="shared" si="24"/>
        <v>Actual</v>
      </c>
      <c r="L423" s="1">
        <f t="shared" si="25"/>
        <v>11.994271392767599</v>
      </c>
      <c r="M423" s="1">
        <f t="shared" si="26"/>
        <v>9.9892588614393105</v>
      </c>
      <c r="N423" s="1" t="str">
        <f t="shared" si="27"/>
        <v>Equipment</v>
      </c>
    </row>
    <row r="424" spans="1:14">
      <c r="A424" s="8">
        <v>2024</v>
      </c>
      <c r="B424" s="8" t="s">
        <v>174</v>
      </c>
      <c r="C424" s="8" t="s">
        <v>175</v>
      </c>
      <c r="D424" s="8" t="s">
        <v>121</v>
      </c>
      <c r="E424" s="8" t="s">
        <v>176</v>
      </c>
      <c r="F424" s="8">
        <v>27.31</v>
      </c>
      <c r="G424" s="8">
        <v>31.1</v>
      </c>
      <c r="H424" s="8">
        <v>8.49</v>
      </c>
      <c r="I424" s="8">
        <v>3.28</v>
      </c>
      <c r="J424" s="8">
        <v>2.73</v>
      </c>
      <c r="K424" s="2" t="str">
        <f t="shared" si="24"/>
        <v>Actual</v>
      </c>
      <c r="L424" s="1">
        <f t="shared" si="25"/>
        <v>12.0102526547052</v>
      </c>
      <c r="M424" s="1">
        <f t="shared" si="26"/>
        <v>9.9963383376052697</v>
      </c>
      <c r="N424" s="1" t="str">
        <f t="shared" si="27"/>
        <v>Equipment</v>
      </c>
    </row>
    <row r="425" spans="1:14">
      <c r="A425" s="8">
        <v>2025</v>
      </c>
      <c r="B425" s="8" t="s">
        <v>174</v>
      </c>
      <c r="C425" s="8" t="s">
        <v>175</v>
      </c>
      <c r="D425" s="8" t="s">
        <v>121</v>
      </c>
      <c r="E425" s="8" t="s">
        <v>176</v>
      </c>
      <c r="F425" s="8">
        <v>33.11</v>
      </c>
      <c r="G425" s="8">
        <v>32.6</v>
      </c>
      <c r="H425" s="8">
        <v>10.78</v>
      </c>
      <c r="I425" s="8">
        <v>3.97</v>
      </c>
      <c r="J425" s="8">
        <v>3.31</v>
      </c>
      <c r="K425" s="2" t="str">
        <f t="shared" si="24"/>
        <v>Forecast</v>
      </c>
      <c r="L425" s="1">
        <f t="shared" si="25"/>
        <v>11.990335246149201</v>
      </c>
      <c r="M425" s="1">
        <f t="shared" si="26"/>
        <v>9.9969797644216207</v>
      </c>
      <c r="N425" s="1" t="str">
        <f t="shared" si="27"/>
        <v>Equipment</v>
      </c>
    </row>
    <row r="426" spans="1:14">
      <c r="A426" s="8">
        <v>2026</v>
      </c>
      <c r="B426" s="8" t="s">
        <v>174</v>
      </c>
      <c r="C426" s="8" t="s">
        <v>175</v>
      </c>
      <c r="D426" s="8" t="s">
        <v>121</v>
      </c>
      <c r="E426" s="8" t="s">
        <v>176</v>
      </c>
      <c r="F426" s="8">
        <v>32.31</v>
      </c>
      <c r="G426" s="8">
        <v>32.9</v>
      </c>
      <c r="H426" s="8">
        <v>10.63</v>
      </c>
      <c r="I426" s="8">
        <v>3.88</v>
      </c>
      <c r="J426" s="8">
        <v>3.23</v>
      </c>
      <c r="K426" s="2" t="str">
        <f t="shared" si="24"/>
        <v>Forecast</v>
      </c>
      <c r="L426" s="1">
        <f t="shared" si="25"/>
        <v>12.008666047663301</v>
      </c>
      <c r="M426" s="1">
        <f t="shared" si="26"/>
        <v>9.9969049829774104</v>
      </c>
      <c r="N426" s="1" t="str">
        <f t="shared" si="27"/>
        <v>Equipment</v>
      </c>
    </row>
    <row r="427" spans="1:14">
      <c r="A427" s="8">
        <v>2010</v>
      </c>
      <c r="B427" s="8" t="s">
        <v>177</v>
      </c>
      <c r="C427" s="8" t="s">
        <v>178</v>
      </c>
      <c r="D427" s="8" t="s">
        <v>121</v>
      </c>
      <c r="E427" s="8" t="s">
        <v>179</v>
      </c>
      <c r="F427" s="8">
        <v>2.57</v>
      </c>
      <c r="G427" s="8">
        <v>28.5</v>
      </c>
      <c r="H427" s="8">
        <v>0.73</v>
      </c>
      <c r="I427" s="8">
        <v>0.31</v>
      </c>
      <c r="J427" s="8">
        <v>0.26</v>
      </c>
      <c r="K427" s="2" t="str">
        <f t="shared" si="24"/>
        <v>Actual</v>
      </c>
      <c r="L427" s="1">
        <f t="shared" si="25"/>
        <v>12.0622568093385</v>
      </c>
      <c r="M427" s="1">
        <f t="shared" si="26"/>
        <v>10.116731517509701</v>
      </c>
      <c r="N427" s="1" t="str">
        <f t="shared" si="27"/>
        <v>Equipment</v>
      </c>
    </row>
    <row r="428" spans="1:14">
      <c r="A428" s="8">
        <v>2011</v>
      </c>
      <c r="B428" s="8" t="s">
        <v>177</v>
      </c>
      <c r="C428" s="8" t="s">
        <v>178</v>
      </c>
      <c r="D428" s="8" t="s">
        <v>121</v>
      </c>
      <c r="E428" s="8" t="s">
        <v>179</v>
      </c>
      <c r="F428" s="8">
        <v>3.23</v>
      </c>
      <c r="G428" s="8">
        <v>30.1</v>
      </c>
      <c r="H428" s="8">
        <v>0.97</v>
      </c>
      <c r="I428" s="8">
        <v>0.39</v>
      </c>
      <c r="J428" s="8">
        <v>0.32</v>
      </c>
      <c r="K428" s="2" t="str">
        <f t="shared" si="24"/>
        <v>Actual</v>
      </c>
      <c r="L428" s="1">
        <f t="shared" si="25"/>
        <v>12.074303405572801</v>
      </c>
      <c r="M428" s="1">
        <f t="shared" si="26"/>
        <v>9.90712074303406</v>
      </c>
      <c r="N428" s="1" t="str">
        <f t="shared" si="27"/>
        <v>Equipment</v>
      </c>
    </row>
    <row r="429" spans="1:14">
      <c r="A429" s="8">
        <v>2012</v>
      </c>
      <c r="B429" s="8" t="s">
        <v>177</v>
      </c>
      <c r="C429" s="8" t="s">
        <v>178</v>
      </c>
      <c r="D429" s="8" t="s">
        <v>121</v>
      </c>
      <c r="E429" s="8" t="s">
        <v>179</v>
      </c>
      <c r="F429" s="8">
        <v>3.71</v>
      </c>
      <c r="G429" s="8">
        <v>30</v>
      </c>
      <c r="H429" s="8">
        <v>1.1100000000000001</v>
      </c>
      <c r="I429" s="8">
        <v>0.45</v>
      </c>
      <c r="J429" s="8">
        <v>0.37</v>
      </c>
      <c r="K429" s="2" t="str">
        <f t="shared" si="24"/>
        <v>Actual</v>
      </c>
      <c r="L429" s="1">
        <f t="shared" si="25"/>
        <v>12.129380053908401</v>
      </c>
      <c r="M429" s="1">
        <f t="shared" si="26"/>
        <v>9.9730458221024296</v>
      </c>
      <c r="N429" s="1" t="str">
        <f t="shared" si="27"/>
        <v>Equipment</v>
      </c>
    </row>
    <row r="430" spans="1:14">
      <c r="A430" s="8">
        <v>2013</v>
      </c>
      <c r="B430" s="8" t="s">
        <v>177</v>
      </c>
      <c r="C430" s="8" t="s">
        <v>178</v>
      </c>
      <c r="D430" s="8" t="s">
        <v>121</v>
      </c>
      <c r="E430" s="8" t="s">
        <v>179</v>
      </c>
      <c r="F430" s="8">
        <v>4.26</v>
      </c>
      <c r="G430" s="8">
        <v>31.3</v>
      </c>
      <c r="H430" s="8">
        <v>1.33</v>
      </c>
      <c r="I430" s="8">
        <v>0.51</v>
      </c>
      <c r="J430" s="8">
        <v>0.43</v>
      </c>
      <c r="K430" s="2" t="str">
        <f t="shared" si="24"/>
        <v>Actual</v>
      </c>
      <c r="L430" s="1">
        <f t="shared" si="25"/>
        <v>11.971830985915499</v>
      </c>
      <c r="M430" s="1">
        <f t="shared" si="26"/>
        <v>10.093896713615001</v>
      </c>
      <c r="N430" s="1" t="str">
        <f t="shared" si="27"/>
        <v>Equipment</v>
      </c>
    </row>
    <row r="431" spans="1:14">
      <c r="A431" s="8">
        <v>2014</v>
      </c>
      <c r="B431" s="8" t="s">
        <v>177</v>
      </c>
      <c r="C431" s="8" t="s">
        <v>178</v>
      </c>
      <c r="D431" s="8" t="s">
        <v>121</v>
      </c>
      <c r="E431" s="8" t="s">
        <v>179</v>
      </c>
      <c r="F431" s="8">
        <v>4.49</v>
      </c>
      <c r="G431" s="8">
        <v>32</v>
      </c>
      <c r="H431" s="8">
        <v>1.44</v>
      </c>
      <c r="I431" s="8">
        <v>0.54</v>
      </c>
      <c r="J431" s="8">
        <v>0.45</v>
      </c>
      <c r="K431" s="2" t="str">
        <f t="shared" si="24"/>
        <v>Actual</v>
      </c>
      <c r="L431" s="1">
        <f t="shared" si="25"/>
        <v>12.026726057906499</v>
      </c>
      <c r="M431" s="1">
        <f t="shared" si="26"/>
        <v>10.022271714922001</v>
      </c>
      <c r="N431" s="1" t="str">
        <f t="shared" si="27"/>
        <v>Equipment</v>
      </c>
    </row>
    <row r="432" spans="1:14">
      <c r="A432" s="8">
        <v>2015</v>
      </c>
      <c r="B432" s="8" t="s">
        <v>177</v>
      </c>
      <c r="C432" s="8" t="s">
        <v>178</v>
      </c>
      <c r="D432" s="8" t="s">
        <v>121</v>
      </c>
      <c r="E432" s="8" t="s">
        <v>179</v>
      </c>
      <c r="F432" s="8">
        <v>5.15</v>
      </c>
      <c r="G432" s="8">
        <v>25.7</v>
      </c>
      <c r="H432" s="8">
        <v>1.32</v>
      </c>
      <c r="I432" s="8">
        <v>0.62</v>
      </c>
      <c r="J432" s="8">
        <v>0.51</v>
      </c>
      <c r="K432" s="2" t="str">
        <f t="shared" si="24"/>
        <v>Actual</v>
      </c>
      <c r="L432" s="1">
        <f t="shared" si="25"/>
        <v>12.0388349514563</v>
      </c>
      <c r="M432" s="1">
        <f t="shared" si="26"/>
        <v>9.9029126213592207</v>
      </c>
      <c r="N432" s="1" t="str">
        <f t="shared" si="27"/>
        <v>Equipment</v>
      </c>
    </row>
    <row r="433" spans="1:14">
      <c r="A433" s="8">
        <v>2016</v>
      </c>
      <c r="B433" s="8" t="s">
        <v>177</v>
      </c>
      <c r="C433" s="8" t="s">
        <v>178</v>
      </c>
      <c r="D433" s="8" t="s">
        <v>121</v>
      </c>
      <c r="E433" s="8" t="s">
        <v>179</v>
      </c>
      <c r="F433" s="8">
        <v>7.22</v>
      </c>
      <c r="G433" s="8">
        <v>30.3</v>
      </c>
      <c r="H433" s="8">
        <v>2.1800000000000002</v>
      </c>
      <c r="I433" s="8">
        <v>0.87</v>
      </c>
      <c r="J433" s="8">
        <v>0.72</v>
      </c>
      <c r="K433" s="2" t="str">
        <f t="shared" si="24"/>
        <v>Actual</v>
      </c>
      <c r="L433" s="1">
        <f t="shared" si="25"/>
        <v>12.049861495844899</v>
      </c>
      <c r="M433" s="1">
        <f t="shared" si="26"/>
        <v>9.97229916897507</v>
      </c>
      <c r="N433" s="1" t="str">
        <f t="shared" si="27"/>
        <v>Equipment</v>
      </c>
    </row>
    <row r="434" spans="1:14">
      <c r="A434" s="8">
        <v>2017</v>
      </c>
      <c r="B434" s="8" t="s">
        <v>177</v>
      </c>
      <c r="C434" s="8" t="s">
        <v>178</v>
      </c>
      <c r="D434" s="8" t="s">
        <v>121</v>
      </c>
      <c r="E434" s="8" t="s">
        <v>179</v>
      </c>
      <c r="F434" s="8">
        <v>8.98</v>
      </c>
      <c r="G434" s="8">
        <v>32.5</v>
      </c>
      <c r="H434" s="8">
        <v>2.92</v>
      </c>
      <c r="I434" s="8">
        <v>1.08</v>
      </c>
      <c r="J434" s="8">
        <v>0.9</v>
      </c>
      <c r="K434" s="2" t="str">
        <f t="shared" si="24"/>
        <v>Actual</v>
      </c>
      <c r="L434" s="1">
        <f t="shared" si="25"/>
        <v>12.026726057906499</v>
      </c>
      <c r="M434" s="1">
        <f t="shared" si="26"/>
        <v>10.022271714922001</v>
      </c>
      <c r="N434" s="1" t="str">
        <f t="shared" si="27"/>
        <v>Equipment</v>
      </c>
    </row>
    <row r="435" spans="1:14">
      <c r="A435" s="8">
        <v>2018</v>
      </c>
      <c r="B435" s="8" t="s">
        <v>177</v>
      </c>
      <c r="C435" s="8" t="s">
        <v>178</v>
      </c>
      <c r="D435" s="8" t="s">
        <v>121</v>
      </c>
      <c r="E435" s="8" t="s">
        <v>179</v>
      </c>
      <c r="F435" s="8">
        <v>10.66</v>
      </c>
      <c r="G435" s="8">
        <v>28.8</v>
      </c>
      <c r="H435" s="8">
        <v>3.07</v>
      </c>
      <c r="I435" s="8">
        <v>1.28</v>
      </c>
      <c r="J435" s="8">
        <v>1.07</v>
      </c>
      <c r="K435" s="2" t="str">
        <f t="shared" si="24"/>
        <v>Actual</v>
      </c>
      <c r="L435" s="1">
        <f t="shared" si="25"/>
        <v>12.007504690431499</v>
      </c>
      <c r="M435" s="1">
        <f t="shared" si="26"/>
        <v>10.0375234521576</v>
      </c>
      <c r="N435" s="1" t="str">
        <f t="shared" si="27"/>
        <v>Equipment</v>
      </c>
    </row>
    <row r="436" spans="1:14">
      <c r="A436" s="8">
        <v>2019</v>
      </c>
      <c r="B436" s="8" t="s">
        <v>177</v>
      </c>
      <c r="C436" s="8" t="s">
        <v>178</v>
      </c>
      <c r="D436" s="8" t="s">
        <v>121</v>
      </c>
      <c r="E436" s="8" t="s">
        <v>179</v>
      </c>
      <c r="F436" s="8">
        <v>10.37</v>
      </c>
      <c r="G436" s="8">
        <v>29.9</v>
      </c>
      <c r="H436" s="8">
        <v>3.1</v>
      </c>
      <c r="I436" s="8">
        <v>1.24</v>
      </c>
      <c r="J436" s="8">
        <v>1.04</v>
      </c>
      <c r="K436" s="2" t="str">
        <f t="shared" si="24"/>
        <v>Actual</v>
      </c>
      <c r="L436" s="1">
        <f t="shared" si="25"/>
        <v>11.9575699132112</v>
      </c>
      <c r="M436" s="1">
        <f t="shared" si="26"/>
        <v>10.028929604628701</v>
      </c>
      <c r="N436" s="1" t="str">
        <f t="shared" si="27"/>
        <v>Equipment</v>
      </c>
    </row>
    <row r="437" spans="1:14">
      <c r="A437" s="8">
        <v>2020</v>
      </c>
      <c r="B437" s="8" t="s">
        <v>177</v>
      </c>
      <c r="C437" s="8" t="s">
        <v>178</v>
      </c>
      <c r="D437" s="8" t="s">
        <v>121</v>
      </c>
      <c r="E437" s="8" t="s">
        <v>179</v>
      </c>
      <c r="F437" s="8">
        <v>10.08</v>
      </c>
      <c r="G437" s="8">
        <v>27</v>
      </c>
      <c r="H437" s="8">
        <v>2.72</v>
      </c>
      <c r="I437" s="8">
        <v>1.21</v>
      </c>
      <c r="J437" s="8">
        <v>1.01</v>
      </c>
      <c r="K437" s="2" t="str">
        <f t="shared" si="24"/>
        <v>Actual</v>
      </c>
      <c r="L437" s="1">
        <f t="shared" si="25"/>
        <v>12.003968253968299</v>
      </c>
      <c r="M437" s="1">
        <f t="shared" si="26"/>
        <v>10.019841269841301</v>
      </c>
      <c r="N437" s="1" t="str">
        <f t="shared" si="27"/>
        <v>Equipment</v>
      </c>
    </row>
    <row r="438" spans="1:14">
      <c r="A438" s="8">
        <v>2021</v>
      </c>
      <c r="B438" s="8" t="s">
        <v>177</v>
      </c>
      <c r="C438" s="8" t="s">
        <v>178</v>
      </c>
      <c r="D438" s="8" t="s">
        <v>121</v>
      </c>
      <c r="E438" s="8" t="s">
        <v>179</v>
      </c>
      <c r="F438" s="8">
        <v>13.9</v>
      </c>
      <c r="G438" s="8">
        <v>30.2</v>
      </c>
      <c r="H438" s="8">
        <v>4.2</v>
      </c>
      <c r="I438" s="8">
        <v>1.67</v>
      </c>
      <c r="J438" s="8">
        <v>1.39</v>
      </c>
      <c r="K438" s="2" t="str">
        <f t="shared" si="24"/>
        <v>Actual</v>
      </c>
      <c r="L438" s="1">
        <f t="shared" si="25"/>
        <v>12.014388489208599</v>
      </c>
      <c r="M438" s="1">
        <f t="shared" si="26"/>
        <v>10</v>
      </c>
      <c r="N438" s="1" t="str">
        <f t="shared" si="27"/>
        <v>Equipment</v>
      </c>
    </row>
    <row r="439" spans="1:14">
      <c r="A439" s="8">
        <v>2022</v>
      </c>
      <c r="B439" s="8" t="s">
        <v>177</v>
      </c>
      <c r="C439" s="8" t="s">
        <v>178</v>
      </c>
      <c r="D439" s="8" t="s">
        <v>121</v>
      </c>
      <c r="E439" s="8" t="s">
        <v>179</v>
      </c>
      <c r="F439" s="8">
        <v>16.25</v>
      </c>
      <c r="G439" s="8">
        <v>24.1</v>
      </c>
      <c r="H439" s="8">
        <v>3.92</v>
      </c>
      <c r="I439" s="8">
        <v>1.95</v>
      </c>
      <c r="J439" s="8">
        <v>1.63</v>
      </c>
      <c r="K439" s="2" t="str">
        <f t="shared" si="24"/>
        <v>Actual</v>
      </c>
      <c r="L439" s="1">
        <f t="shared" si="25"/>
        <v>12</v>
      </c>
      <c r="M439" s="1">
        <f t="shared" si="26"/>
        <v>10.0307692307692</v>
      </c>
      <c r="N439" s="1" t="str">
        <f t="shared" si="27"/>
        <v>Equipment</v>
      </c>
    </row>
    <row r="440" spans="1:14">
      <c r="A440" s="8">
        <v>2023</v>
      </c>
      <c r="B440" s="8" t="s">
        <v>177</v>
      </c>
      <c r="C440" s="8" t="s">
        <v>178</v>
      </c>
      <c r="D440" s="8" t="s">
        <v>121</v>
      </c>
      <c r="E440" s="8" t="s">
        <v>179</v>
      </c>
      <c r="F440" s="8">
        <v>17.39</v>
      </c>
      <c r="G440" s="8">
        <v>29.3</v>
      </c>
      <c r="H440" s="8">
        <v>5.0999999999999996</v>
      </c>
      <c r="I440" s="8">
        <v>2.09</v>
      </c>
      <c r="J440" s="8">
        <v>1.74</v>
      </c>
      <c r="K440" s="2" t="str">
        <f t="shared" si="24"/>
        <v>Actual</v>
      </c>
      <c r="L440" s="1">
        <f t="shared" si="25"/>
        <v>12.0184013801035</v>
      </c>
      <c r="M440" s="1">
        <f t="shared" si="26"/>
        <v>10.0057504312823</v>
      </c>
      <c r="N440" s="1" t="str">
        <f t="shared" si="27"/>
        <v>Equipment</v>
      </c>
    </row>
    <row r="441" spans="1:14">
      <c r="A441" s="8">
        <v>2024</v>
      </c>
      <c r="B441" s="8" t="s">
        <v>177</v>
      </c>
      <c r="C441" s="8" t="s">
        <v>178</v>
      </c>
      <c r="D441" s="8" t="s">
        <v>121</v>
      </c>
      <c r="E441" s="8" t="s">
        <v>179</v>
      </c>
      <c r="F441" s="8">
        <v>14.85</v>
      </c>
      <c r="G441" s="8">
        <v>29.9</v>
      </c>
      <c r="H441" s="8">
        <v>4.4400000000000004</v>
      </c>
      <c r="I441" s="8">
        <v>1.78</v>
      </c>
      <c r="J441" s="8">
        <v>1.49</v>
      </c>
      <c r="K441" s="2" t="str">
        <f t="shared" si="24"/>
        <v>Actual</v>
      </c>
      <c r="L441" s="1">
        <f t="shared" si="25"/>
        <v>11.986531986532</v>
      </c>
      <c r="M441" s="1">
        <f t="shared" si="26"/>
        <v>10.033670033670001</v>
      </c>
      <c r="N441" s="1" t="str">
        <f t="shared" si="27"/>
        <v>Equipment</v>
      </c>
    </row>
    <row r="442" spans="1:14">
      <c r="A442" s="8">
        <v>2025</v>
      </c>
      <c r="B442" s="8" t="s">
        <v>177</v>
      </c>
      <c r="C442" s="8" t="s">
        <v>178</v>
      </c>
      <c r="D442" s="8" t="s">
        <v>121</v>
      </c>
      <c r="E442" s="8" t="s">
        <v>179</v>
      </c>
      <c r="F442" s="8">
        <v>17.07</v>
      </c>
      <c r="G442" s="8">
        <v>32.799999999999997</v>
      </c>
      <c r="H442" s="8">
        <v>5.6</v>
      </c>
      <c r="I442" s="8">
        <v>2.0499999999999998</v>
      </c>
      <c r="J442" s="8">
        <v>1.71</v>
      </c>
      <c r="K442" s="2" t="str">
        <f t="shared" si="24"/>
        <v>Forecast</v>
      </c>
      <c r="L442" s="1">
        <f t="shared" si="25"/>
        <v>12.009373169302901</v>
      </c>
      <c r="M442" s="1">
        <f t="shared" si="26"/>
        <v>10.017574692442899</v>
      </c>
      <c r="N442" s="1" t="str">
        <f t="shared" si="27"/>
        <v>Equipment</v>
      </c>
    </row>
    <row r="443" spans="1:14">
      <c r="A443" s="8">
        <v>2026</v>
      </c>
      <c r="B443" s="8" t="s">
        <v>177</v>
      </c>
      <c r="C443" s="8" t="s">
        <v>178</v>
      </c>
      <c r="D443" s="8" t="s">
        <v>121</v>
      </c>
      <c r="E443" s="8" t="s">
        <v>179</v>
      </c>
      <c r="F443" s="8">
        <v>18.38</v>
      </c>
      <c r="G443" s="8">
        <v>26.5</v>
      </c>
      <c r="H443" s="8">
        <v>4.87</v>
      </c>
      <c r="I443" s="8">
        <v>2.21</v>
      </c>
      <c r="J443" s="8">
        <v>1.84</v>
      </c>
      <c r="K443" s="2" t="str">
        <f t="shared" si="24"/>
        <v>Forecast</v>
      </c>
      <c r="L443" s="1">
        <f t="shared" si="25"/>
        <v>12.023939064200199</v>
      </c>
      <c r="M443" s="1">
        <f t="shared" si="26"/>
        <v>10.0108813928183</v>
      </c>
      <c r="N443" s="1" t="str">
        <f t="shared" si="27"/>
        <v>Equipment</v>
      </c>
    </row>
    <row r="444" spans="1:14">
      <c r="A444" s="8">
        <v>2010</v>
      </c>
      <c r="B444" s="8" t="s">
        <v>180</v>
      </c>
      <c r="C444" s="8" t="s">
        <v>181</v>
      </c>
      <c r="D444" s="8" t="s">
        <v>121</v>
      </c>
      <c r="E444" s="8" t="s">
        <v>182</v>
      </c>
      <c r="F444" s="8">
        <v>1.74</v>
      </c>
      <c r="G444" s="8">
        <v>40.9</v>
      </c>
      <c r="H444" s="8">
        <v>0.71</v>
      </c>
      <c r="I444" s="8">
        <v>0.21</v>
      </c>
      <c r="J444" s="8">
        <v>0.17</v>
      </c>
      <c r="K444" s="2" t="str">
        <f t="shared" si="24"/>
        <v>Actual</v>
      </c>
      <c r="L444" s="1">
        <f t="shared" si="25"/>
        <v>12.0689655172414</v>
      </c>
      <c r="M444" s="1">
        <f t="shared" si="26"/>
        <v>9.7701149425287408</v>
      </c>
      <c r="N444" s="1" t="str">
        <f t="shared" si="27"/>
        <v>Equipment</v>
      </c>
    </row>
    <row r="445" spans="1:14">
      <c r="A445" s="8">
        <v>2011</v>
      </c>
      <c r="B445" s="8" t="s">
        <v>180</v>
      </c>
      <c r="C445" s="8" t="s">
        <v>181</v>
      </c>
      <c r="D445" s="8" t="s">
        <v>121</v>
      </c>
      <c r="E445" s="8" t="s">
        <v>182</v>
      </c>
      <c r="F445" s="8">
        <v>2.08</v>
      </c>
      <c r="G445" s="8">
        <v>38.700000000000003</v>
      </c>
      <c r="H445" s="8">
        <v>0.8</v>
      </c>
      <c r="I445" s="8">
        <v>0.25</v>
      </c>
      <c r="J445" s="8">
        <v>0.21</v>
      </c>
      <c r="K445" s="2" t="str">
        <f t="shared" si="24"/>
        <v>Actual</v>
      </c>
      <c r="L445" s="1">
        <f t="shared" si="25"/>
        <v>12.0192307692308</v>
      </c>
      <c r="M445" s="1">
        <f t="shared" si="26"/>
        <v>10.096153846153801</v>
      </c>
      <c r="N445" s="1" t="str">
        <f t="shared" si="27"/>
        <v>Equipment</v>
      </c>
    </row>
    <row r="446" spans="1:14">
      <c r="A446" s="8">
        <v>2012</v>
      </c>
      <c r="B446" s="8" t="s">
        <v>180</v>
      </c>
      <c r="C446" s="8" t="s">
        <v>181</v>
      </c>
      <c r="D446" s="8" t="s">
        <v>121</v>
      </c>
      <c r="E446" s="8" t="s">
        <v>182</v>
      </c>
      <c r="F446" s="8">
        <v>2.04</v>
      </c>
      <c r="G446" s="8">
        <v>34.9</v>
      </c>
      <c r="H446" s="8">
        <v>0.71</v>
      </c>
      <c r="I446" s="8">
        <v>0.24</v>
      </c>
      <c r="J446" s="8">
        <v>0.2</v>
      </c>
      <c r="K446" s="2" t="str">
        <f t="shared" si="24"/>
        <v>Actual</v>
      </c>
      <c r="L446" s="1">
        <f t="shared" si="25"/>
        <v>11.764705882352899</v>
      </c>
      <c r="M446" s="1">
        <f t="shared" si="26"/>
        <v>9.8039215686274499</v>
      </c>
      <c r="N446" s="1" t="str">
        <f t="shared" si="27"/>
        <v>Equipment</v>
      </c>
    </row>
    <row r="447" spans="1:14">
      <c r="A447" s="8">
        <v>2013</v>
      </c>
      <c r="B447" s="8" t="s">
        <v>180</v>
      </c>
      <c r="C447" s="8" t="s">
        <v>181</v>
      </c>
      <c r="D447" s="8" t="s">
        <v>121</v>
      </c>
      <c r="E447" s="8" t="s">
        <v>182</v>
      </c>
      <c r="F447" s="8">
        <v>2.34</v>
      </c>
      <c r="G447" s="8">
        <v>38.299999999999997</v>
      </c>
      <c r="H447" s="8">
        <v>0.9</v>
      </c>
      <c r="I447" s="8">
        <v>0.28000000000000003</v>
      </c>
      <c r="J447" s="8">
        <v>0.23</v>
      </c>
      <c r="K447" s="2" t="str">
        <f t="shared" si="24"/>
        <v>Actual</v>
      </c>
      <c r="L447" s="1">
        <f t="shared" si="25"/>
        <v>11.965811965812</v>
      </c>
      <c r="M447" s="1">
        <f t="shared" si="26"/>
        <v>9.8290598290598297</v>
      </c>
      <c r="N447" s="1" t="str">
        <f t="shared" si="27"/>
        <v>Equipment</v>
      </c>
    </row>
    <row r="448" spans="1:14">
      <c r="A448" s="8">
        <v>2014</v>
      </c>
      <c r="B448" s="8" t="s">
        <v>180</v>
      </c>
      <c r="C448" s="8" t="s">
        <v>181</v>
      </c>
      <c r="D448" s="8" t="s">
        <v>121</v>
      </c>
      <c r="E448" s="8" t="s">
        <v>182</v>
      </c>
      <c r="F448" s="8">
        <v>2.57</v>
      </c>
      <c r="G448" s="8">
        <v>40.1</v>
      </c>
      <c r="H448" s="8">
        <v>1.03</v>
      </c>
      <c r="I448" s="8">
        <v>0.31</v>
      </c>
      <c r="J448" s="8">
        <v>0.26</v>
      </c>
      <c r="K448" s="2" t="str">
        <f t="shared" si="24"/>
        <v>Actual</v>
      </c>
      <c r="L448" s="1">
        <f t="shared" si="25"/>
        <v>12.0622568093385</v>
      </c>
      <c r="M448" s="1">
        <f t="shared" si="26"/>
        <v>10.116731517509701</v>
      </c>
      <c r="N448" s="1" t="str">
        <f t="shared" si="27"/>
        <v>Equipment</v>
      </c>
    </row>
    <row r="449" spans="1:14">
      <c r="A449" s="8">
        <v>2015</v>
      </c>
      <c r="B449" s="8" t="s">
        <v>180</v>
      </c>
      <c r="C449" s="8" t="s">
        <v>181</v>
      </c>
      <c r="D449" s="8" t="s">
        <v>121</v>
      </c>
      <c r="E449" s="8" t="s">
        <v>182</v>
      </c>
      <c r="F449" s="8">
        <v>2.77</v>
      </c>
      <c r="G449" s="8">
        <v>43.1</v>
      </c>
      <c r="H449" s="8">
        <v>1.2</v>
      </c>
      <c r="I449" s="8">
        <v>0.33</v>
      </c>
      <c r="J449" s="8">
        <v>0.28000000000000003</v>
      </c>
      <c r="K449" s="2" t="str">
        <f t="shared" si="24"/>
        <v>Actual</v>
      </c>
      <c r="L449" s="1">
        <f t="shared" si="25"/>
        <v>11.913357400721999</v>
      </c>
      <c r="M449" s="1">
        <f t="shared" si="26"/>
        <v>10.108303249097499</v>
      </c>
      <c r="N449" s="1" t="str">
        <f t="shared" si="27"/>
        <v>Equipment</v>
      </c>
    </row>
    <row r="450" spans="1:14">
      <c r="A450" s="8">
        <v>2016</v>
      </c>
      <c r="B450" s="8" t="s">
        <v>180</v>
      </c>
      <c r="C450" s="8" t="s">
        <v>181</v>
      </c>
      <c r="D450" s="8" t="s">
        <v>121</v>
      </c>
      <c r="E450" s="8" t="s">
        <v>182</v>
      </c>
      <c r="F450" s="8">
        <v>3.14</v>
      </c>
      <c r="G450" s="8">
        <v>37.4</v>
      </c>
      <c r="H450" s="8">
        <v>1.17</v>
      </c>
      <c r="I450" s="8">
        <v>0.38</v>
      </c>
      <c r="J450" s="8">
        <v>0.31</v>
      </c>
      <c r="K450" s="2" t="str">
        <f t="shared" si="24"/>
        <v>Actual</v>
      </c>
      <c r="L450" s="1">
        <f t="shared" si="25"/>
        <v>12.101910828025501</v>
      </c>
      <c r="M450" s="1">
        <f t="shared" si="26"/>
        <v>9.8726114649681502</v>
      </c>
      <c r="N450" s="1" t="str">
        <f t="shared" si="27"/>
        <v>Equipment</v>
      </c>
    </row>
    <row r="451" spans="1:14">
      <c r="A451" s="8">
        <v>2017</v>
      </c>
      <c r="B451" s="8" t="s">
        <v>180</v>
      </c>
      <c r="C451" s="8" t="s">
        <v>181</v>
      </c>
      <c r="D451" s="8" t="s">
        <v>121</v>
      </c>
      <c r="E451" s="8" t="s">
        <v>182</v>
      </c>
      <c r="F451" s="8">
        <v>3.65</v>
      </c>
      <c r="G451" s="8">
        <v>35.4</v>
      </c>
      <c r="H451" s="8">
        <v>1.29</v>
      </c>
      <c r="I451" s="8">
        <v>0.44</v>
      </c>
      <c r="J451" s="8">
        <v>0.37</v>
      </c>
      <c r="K451" s="2" t="str">
        <f t="shared" ref="K451:K514" si="28">IF(A451&gt;=2025,"Forecast","Actual")</f>
        <v>Actual</v>
      </c>
      <c r="L451" s="1">
        <f t="shared" ref="L451:L514" si="29">IF(F451=0,0,I451/F451*100)</f>
        <v>12.054794520547899</v>
      </c>
      <c r="M451" s="1">
        <f t="shared" ref="M451:M514" si="30">IF(F451=0,0,J451/F451*100)</f>
        <v>10.1369863013699</v>
      </c>
      <c r="N451" s="1" t="str">
        <f t="shared" ref="N451:N514" si="31">IF(LEFT(E451,7)="fabless","Fabless",IF(LEFT(E451,9)="equipment","Equipment",IF(E451="foundry","Manufacturer",IF(LEFT(E451,3)="idm","Manufacturer",IF(E451="eda_software","EDA Software","Other")))))</f>
        <v>Equipment</v>
      </c>
    </row>
    <row r="452" spans="1:14">
      <c r="A452" s="8">
        <v>2018</v>
      </c>
      <c r="B452" s="8" t="s">
        <v>180</v>
      </c>
      <c r="C452" s="8" t="s">
        <v>181</v>
      </c>
      <c r="D452" s="8" t="s">
        <v>121</v>
      </c>
      <c r="E452" s="8" t="s">
        <v>182</v>
      </c>
      <c r="F452" s="8">
        <v>4.05</v>
      </c>
      <c r="G452" s="8">
        <v>40.299999999999997</v>
      </c>
      <c r="H452" s="8">
        <v>1.63</v>
      </c>
      <c r="I452" s="8">
        <v>0.49</v>
      </c>
      <c r="J452" s="8">
        <v>0.4</v>
      </c>
      <c r="K452" s="2" t="str">
        <f t="shared" si="28"/>
        <v>Actual</v>
      </c>
      <c r="L452" s="1">
        <f t="shared" si="29"/>
        <v>12.0987654320988</v>
      </c>
      <c r="M452" s="1">
        <f t="shared" si="30"/>
        <v>9.8765432098765409</v>
      </c>
      <c r="N452" s="1" t="str">
        <f t="shared" si="31"/>
        <v>Equipment</v>
      </c>
    </row>
    <row r="453" spans="1:14">
      <c r="A453" s="8">
        <v>2019</v>
      </c>
      <c r="B453" s="8" t="s">
        <v>180</v>
      </c>
      <c r="C453" s="8" t="s">
        <v>181</v>
      </c>
      <c r="D453" s="8" t="s">
        <v>121</v>
      </c>
      <c r="E453" s="8" t="s">
        <v>182</v>
      </c>
      <c r="F453" s="8">
        <v>4.88</v>
      </c>
      <c r="G453" s="8">
        <v>44.8</v>
      </c>
      <c r="H453" s="8">
        <v>2.1800000000000002</v>
      </c>
      <c r="I453" s="8">
        <v>0.59</v>
      </c>
      <c r="J453" s="8">
        <v>0.49</v>
      </c>
      <c r="K453" s="2" t="str">
        <f t="shared" si="28"/>
        <v>Actual</v>
      </c>
      <c r="L453" s="1">
        <f t="shared" si="29"/>
        <v>12.090163934426201</v>
      </c>
      <c r="M453" s="1">
        <f t="shared" si="30"/>
        <v>10.040983606557401</v>
      </c>
      <c r="N453" s="1" t="str">
        <f t="shared" si="31"/>
        <v>Equipment</v>
      </c>
    </row>
    <row r="454" spans="1:14">
      <c r="A454" s="8">
        <v>2020</v>
      </c>
      <c r="B454" s="8" t="s">
        <v>180</v>
      </c>
      <c r="C454" s="8" t="s">
        <v>181</v>
      </c>
      <c r="D454" s="8" t="s">
        <v>121</v>
      </c>
      <c r="E454" s="8" t="s">
        <v>182</v>
      </c>
      <c r="F454" s="8">
        <v>5.69</v>
      </c>
      <c r="G454" s="8">
        <v>46.2</v>
      </c>
      <c r="H454" s="8">
        <v>2.63</v>
      </c>
      <c r="I454" s="8">
        <v>0.68</v>
      </c>
      <c r="J454" s="8">
        <v>0.56999999999999995</v>
      </c>
      <c r="K454" s="2" t="str">
        <f t="shared" si="28"/>
        <v>Actual</v>
      </c>
      <c r="L454" s="1">
        <f t="shared" si="29"/>
        <v>11.9507908611599</v>
      </c>
      <c r="M454" s="1">
        <f t="shared" si="30"/>
        <v>10.017574692442899</v>
      </c>
      <c r="N454" s="1" t="str">
        <f t="shared" si="31"/>
        <v>Equipment</v>
      </c>
    </row>
    <row r="455" spans="1:14">
      <c r="A455" s="8">
        <v>2021</v>
      </c>
      <c r="B455" s="8" t="s">
        <v>180</v>
      </c>
      <c r="C455" s="8" t="s">
        <v>181</v>
      </c>
      <c r="D455" s="8" t="s">
        <v>121</v>
      </c>
      <c r="E455" s="8" t="s">
        <v>182</v>
      </c>
      <c r="F455" s="8">
        <v>7.45</v>
      </c>
      <c r="G455" s="8">
        <v>36.200000000000003</v>
      </c>
      <c r="H455" s="8">
        <v>2.69</v>
      </c>
      <c r="I455" s="8">
        <v>0.89</v>
      </c>
      <c r="J455" s="8">
        <v>0.74</v>
      </c>
      <c r="K455" s="2" t="str">
        <f t="shared" si="28"/>
        <v>Actual</v>
      </c>
      <c r="L455" s="1">
        <f t="shared" si="29"/>
        <v>11.9463087248322</v>
      </c>
      <c r="M455" s="1">
        <f t="shared" si="30"/>
        <v>9.9328859060402692</v>
      </c>
      <c r="N455" s="1" t="str">
        <f t="shared" si="31"/>
        <v>Equipment</v>
      </c>
    </row>
    <row r="456" spans="1:14">
      <c r="A456" s="8">
        <v>2022</v>
      </c>
      <c r="B456" s="8" t="s">
        <v>180</v>
      </c>
      <c r="C456" s="8" t="s">
        <v>181</v>
      </c>
      <c r="D456" s="8" t="s">
        <v>121</v>
      </c>
      <c r="E456" s="8" t="s">
        <v>182</v>
      </c>
      <c r="F456" s="8">
        <v>9.2200000000000006</v>
      </c>
      <c r="G456" s="8">
        <v>36.799999999999997</v>
      </c>
      <c r="H456" s="8">
        <v>3.39</v>
      </c>
      <c r="I456" s="8">
        <v>1.1100000000000001</v>
      </c>
      <c r="J456" s="8">
        <v>0.92</v>
      </c>
      <c r="K456" s="2" t="str">
        <f t="shared" si="28"/>
        <v>Actual</v>
      </c>
      <c r="L456" s="1">
        <f t="shared" si="29"/>
        <v>12.0390455531453</v>
      </c>
      <c r="M456" s="1">
        <f t="shared" si="30"/>
        <v>9.9783080260303691</v>
      </c>
      <c r="N456" s="1" t="str">
        <f t="shared" si="31"/>
        <v>Equipment</v>
      </c>
    </row>
    <row r="457" spans="1:14">
      <c r="A457" s="8">
        <v>2023</v>
      </c>
      <c r="B457" s="8" t="s">
        <v>180</v>
      </c>
      <c r="C457" s="8" t="s">
        <v>181</v>
      </c>
      <c r="D457" s="8" t="s">
        <v>121</v>
      </c>
      <c r="E457" s="8" t="s">
        <v>182</v>
      </c>
      <c r="F457" s="8">
        <v>10.27</v>
      </c>
      <c r="G457" s="8">
        <v>41.2</v>
      </c>
      <c r="H457" s="8">
        <v>4.2300000000000004</v>
      </c>
      <c r="I457" s="8">
        <v>1.23</v>
      </c>
      <c r="J457" s="8">
        <v>1.03</v>
      </c>
      <c r="K457" s="2" t="str">
        <f t="shared" si="28"/>
        <v>Actual</v>
      </c>
      <c r="L457" s="1">
        <f t="shared" si="29"/>
        <v>11.976630963972701</v>
      </c>
      <c r="M457" s="1">
        <f t="shared" si="30"/>
        <v>10.0292112950341</v>
      </c>
      <c r="N457" s="1" t="str">
        <f t="shared" si="31"/>
        <v>Equipment</v>
      </c>
    </row>
    <row r="458" spans="1:14">
      <c r="A458" s="8">
        <v>2024</v>
      </c>
      <c r="B458" s="8" t="s">
        <v>180</v>
      </c>
      <c r="C458" s="8" t="s">
        <v>181</v>
      </c>
      <c r="D458" s="8" t="s">
        <v>121</v>
      </c>
      <c r="E458" s="8" t="s">
        <v>182</v>
      </c>
      <c r="F458" s="8">
        <v>9.9600000000000009</v>
      </c>
      <c r="G458" s="8">
        <v>38.1</v>
      </c>
      <c r="H458" s="8">
        <v>3.8</v>
      </c>
      <c r="I458" s="8">
        <v>1.2</v>
      </c>
      <c r="J458" s="8">
        <v>1</v>
      </c>
      <c r="K458" s="2" t="str">
        <f t="shared" si="28"/>
        <v>Actual</v>
      </c>
      <c r="L458" s="1">
        <f t="shared" si="29"/>
        <v>12.048192771084301</v>
      </c>
      <c r="M458" s="1">
        <f t="shared" si="30"/>
        <v>10.040160642570299</v>
      </c>
      <c r="N458" s="1" t="str">
        <f t="shared" si="31"/>
        <v>Equipment</v>
      </c>
    </row>
    <row r="459" spans="1:14">
      <c r="A459" s="8">
        <v>2025</v>
      </c>
      <c r="B459" s="8" t="s">
        <v>180</v>
      </c>
      <c r="C459" s="8" t="s">
        <v>181</v>
      </c>
      <c r="D459" s="8" t="s">
        <v>121</v>
      </c>
      <c r="E459" s="8" t="s">
        <v>182</v>
      </c>
      <c r="F459" s="8">
        <v>11.74</v>
      </c>
      <c r="G459" s="8">
        <v>43.5</v>
      </c>
      <c r="H459" s="8">
        <v>5.0999999999999996</v>
      </c>
      <c r="I459" s="8">
        <v>1.41</v>
      </c>
      <c r="J459" s="8">
        <v>1.17</v>
      </c>
      <c r="K459" s="2" t="str">
        <f t="shared" si="28"/>
        <v>Forecast</v>
      </c>
      <c r="L459" s="1">
        <f t="shared" si="29"/>
        <v>12.0102214650767</v>
      </c>
      <c r="M459" s="1">
        <f t="shared" si="30"/>
        <v>9.9659284497444602</v>
      </c>
      <c r="N459" s="1" t="str">
        <f t="shared" si="31"/>
        <v>Equipment</v>
      </c>
    </row>
    <row r="460" spans="1:14">
      <c r="A460" s="8">
        <v>2026</v>
      </c>
      <c r="B460" s="8" t="s">
        <v>180</v>
      </c>
      <c r="C460" s="8" t="s">
        <v>181</v>
      </c>
      <c r="D460" s="8" t="s">
        <v>121</v>
      </c>
      <c r="E460" s="8" t="s">
        <v>182</v>
      </c>
      <c r="F460" s="8">
        <v>13.57</v>
      </c>
      <c r="G460" s="8">
        <v>41.6</v>
      </c>
      <c r="H460" s="8">
        <v>5.64</v>
      </c>
      <c r="I460" s="8">
        <v>1.63</v>
      </c>
      <c r="J460" s="8">
        <v>1.36</v>
      </c>
      <c r="K460" s="2" t="str">
        <f t="shared" si="28"/>
        <v>Forecast</v>
      </c>
      <c r="L460" s="1">
        <f t="shared" si="29"/>
        <v>12.011790714812101</v>
      </c>
      <c r="M460" s="1">
        <f t="shared" si="30"/>
        <v>10.0221075902727</v>
      </c>
      <c r="N460" s="1" t="str">
        <f t="shared" si="31"/>
        <v>Equipment</v>
      </c>
    </row>
    <row r="461" spans="1:14">
      <c r="A461" s="8">
        <v>2010</v>
      </c>
      <c r="B461" s="8" t="s">
        <v>183</v>
      </c>
      <c r="C461" s="8">
        <v>8035</v>
      </c>
      <c r="D461" s="8" t="s">
        <v>165</v>
      </c>
      <c r="E461" s="8" t="s">
        <v>176</v>
      </c>
      <c r="F461" s="8">
        <v>6.88</v>
      </c>
      <c r="G461" s="8">
        <v>24.4</v>
      </c>
      <c r="H461" s="8">
        <v>1.67</v>
      </c>
      <c r="I461" s="8">
        <v>0.83</v>
      </c>
      <c r="J461" s="8">
        <v>0.69</v>
      </c>
      <c r="K461" s="2" t="str">
        <f t="shared" si="28"/>
        <v>Actual</v>
      </c>
      <c r="L461" s="1">
        <f t="shared" si="29"/>
        <v>12.0639534883721</v>
      </c>
      <c r="M461" s="1">
        <f t="shared" si="30"/>
        <v>10.0290697674419</v>
      </c>
      <c r="N461" s="1" t="str">
        <f t="shared" si="31"/>
        <v>Equipment</v>
      </c>
    </row>
    <row r="462" spans="1:14">
      <c r="A462" s="8">
        <v>2011</v>
      </c>
      <c r="B462" s="8" t="s">
        <v>183</v>
      </c>
      <c r="C462" s="8">
        <v>8035</v>
      </c>
      <c r="D462" s="8" t="s">
        <v>165</v>
      </c>
      <c r="E462" s="8" t="s">
        <v>176</v>
      </c>
      <c r="F462" s="8">
        <v>6.28</v>
      </c>
      <c r="G462" s="8">
        <v>27.4</v>
      </c>
      <c r="H462" s="8">
        <v>1.72</v>
      </c>
      <c r="I462" s="8">
        <v>0.75</v>
      </c>
      <c r="J462" s="8">
        <v>0.63</v>
      </c>
      <c r="K462" s="2" t="str">
        <f t="shared" si="28"/>
        <v>Actual</v>
      </c>
      <c r="L462" s="1">
        <f t="shared" si="29"/>
        <v>11.9426751592357</v>
      </c>
      <c r="M462" s="1">
        <f t="shared" si="30"/>
        <v>10.031847133757999</v>
      </c>
      <c r="N462" s="1" t="str">
        <f t="shared" si="31"/>
        <v>Equipment</v>
      </c>
    </row>
    <row r="463" spans="1:14">
      <c r="A463" s="8">
        <v>2012</v>
      </c>
      <c r="B463" s="8" t="s">
        <v>183</v>
      </c>
      <c r="C463" s="8">
        <v>8035</v>
      </c>
      <c r="D463" s="8" t="s">
        <v>165</v>
      </c>
      <c r="E463" s="8" t="s">
        <v>176</v>
      </c>
      <c r="F463" s="8">
        <v>6.1</v>
      </c>
      <c r="G463" s="8">
        <v>28.3</v>
      </c>
      <c r="H463" s="8">
        <v>1.73</v>
      </c>
      <c r="I463" s="8">
        <v>0.73</v>
      </c>
      <c r="J463" s="8">
        <v>0.61</v>
      </c>
      <c r="K463" s="2" t="str">
        <f t="shared" si="28"/>
        <v>Actual</v>
      </c>
      <c r="L463" s="1">
        <f t="shared" si="29"/>
        <v>11.967213114754101</v>
      </c>
      <c r="M463" s="1">
        <f t="shared" si="30"/>
        <v>10</v>
      </c>
      <c r="N463" s="1" t="str">
        <f t="shared" si="31"/>
        <v>Equipment</v>
      </c>
    </row>
    <row r="464" spans="1:14">
      <c r="A464" s="8">
        <v>2013</v>
      </c>
      <c r="B464" s="8" t="s">
        <v>183</v>
      </c>
      <c r="C464" s="8">
        <v>8035</v>
      </c>
      <c r="D464" s="8" t="s">
        <v>165</v>
      </c>
      <c r="E464" s="8" t="s">
        <v>176</v>
      </c>
      <c r="F464" s="8">
        <v>5.79</v>
      </c>
      <c r="G464" s="8">
        <v>35.6</v>
      </c>
      <c r="H464" s="8">
        <v>2.06</v>
      </c>
      <c r="I464" s="8">
        <v>0.69</v>
      </c>
      <c r="J464" s="8">
        <v>0.57999999999999996</v>
      </c>
      <c r="K464" s="2" t="str">
        <f t="shared" si="28"/>
        <v>Actual</v>
      </c>
      <c r="L464" s="1">
        <f t="shared" si="29"/>
        <v>11.917098445595901</v>
      </c>
      <c r="M464" s="1">
        <f t="shared" si="30"/>
        <v>10.017271157167499</v>
      </c>
      <c r="N464" s="1" t="str">
        <f t="shared" si="31"/>
        <v>Equipment</v>
      </c>
    </row>
    <row r="465" spans="1:14">
      <c r="A465" s="8">
        <v>2014</v>
      </c>
      <c r="B465" s="8" t="s">
        <v>183</v>
      </c>
      <c r="C465" s="8">
        <v>8035</v>
      </c>
      <c r="D465" s="8" t="s">
        <v>165</v>
      </c>
      <c r="E465" s="8" t="s">
        <v>176</v>
      </c>
      <c r="F465" s="8">
        <v>5.53</v>
      </c>
      <c r="G465" s="8">
        <v>31.2</v>
      </c>
      <c r="H465" s="8">
        <v>1.73</v>
      </c>
      <c r="I465" s="8">
        <v>0.66</v>
      </c>
      <c r="J465" s="8">
        <v>0.55000000000000004</v>
      </c>
      <c r="K465" s="2" t="str">
        <f t="shared" si="28"/>
        <v>Actual</v>
      </c>
      <c r="L465" s="1">
        <f t="shared" si="29"/>
        <v>11.9349005424955</v>
      </c>
      <c r="M465" s="1">
        <f t="shared" si="30"/>
        <v>9.9457504520795705</v>
      </c>
      <c r="N465" s="1" t="str">
        <f t="shared" si="31"/>
        <v>Equipment</v>
      </c>
    </row>
    <row r="466" spans="1:14">
      <c r="A466" s="8">
        <v>2015</v>
      </c>
      <c r="B466" s="8" t="s">
        <v>183</v>
      </c>
      <c r="C466" s="8">
        <v>8035</v>
      </c>
      <c r="D466" s="8" t="s">
        <v>165</v>
      </c>
      <c r="E466" s="8" t="s">
        <v>176</v>
      </c>
      <c r="F466" s="8">
        <v>5.26</v>
      </c>
      <c r="G466" s="8">
        <v>30.2</v>
      </c>
      <c r="H466" s="8">
        <v>1.59</v>
      </c>
      <c r="I466" s="8">
        <v>0.63</v>
      </c>
      <c r="J466" s="8">
        <v>0.53</v>
      </c>
      <c r="K466" s="2" t="str">
        <f t="shared" si="28"/>
        <v>Actual</v>
      </c>
      <c r="L466" s="1">
        <f t="shared" si="29"/>
        <v>11.977186311787101</v>
      </c>
      <c r="M466" s="1">
        <f t="shared" si="30"/>
        <v>10.0760456273764</v>
      </c>
      <c r="N466" s="1" t="str">
        <f t="shared" si="31"/>
        <v>Equipment</v>
      </c>
    </row>
    <row r="467" spans="1:14">
      <c r="A467" s="8">
        <v>2016</v>
      </c>
      <c r="B467" s="8" t="s">
        <v>183</v>
      </c>
      <c r="C467" s="8">
        <v>8035</v>
      </c>
      <c r="D467" s="8" t="s">
        <v>165</v>
      </c>
      <c r="E467" s="8" t="s">
        <v>176</v>
      </c>
      <c r="F467" s="8">
        <v>7.3</v>
      </c>
      <c r="G467" s="8">
        <v>31.3</v>
      </c>
      <c r="H467" s="8">
        <v>2.29</v>
      </c>
      <c r="I467" s="8">
        <v>0.88</v>
      </c>
      <c r="J467" s="8">
        <v>0.73</v>
      </c>
      <c r="K467" s="2" t="str">
        <f t="shared" si="28"/>
        <v>Actual</v>
      </c>
      <c r="L467" s="1">
        <f t="shared" si="29"/>
        <v>12.054794520547899</v>
      </c>
      <c r="M467" s="1">
        <f t="shared" si="30"/>
        <v>10</v>
      </c>
      <c r="N467" s="1" t="str">
        <f t="shared" si="31"/>
        <v>Equipment</v>
      </c>
    </row>
    <row r="468" spans="1:14">
      <c r="A468" s="8">
        <v>2017</v>
      </c>
      <c r="B468" s="8" t="s">
        <v>183</v>
      </c>
      <c r="C468" s="8">
        <v>8035</v>
      </c>
      <c r="D468" s="8" t="s">
        <v>165</v>
      </c>
      <c r="E468" s="8" t="s">
        <v>176</v>
      </c>
      <c r="F468" s="8">
        <v>9.6300000000000008</v>
      </c>
      <c r="G468" s="8">
        <v>34.9</v>
      </c>
      <c r="H468" s="8">
        <v>3.37</v>
      </c>
      <c r="I468" s="8">
        <v>1.1599999999999999</v>
      </c>
      <c r="J468" s="8">
        <v>0.96</v>
      </c>
      <c r="K468" s="2" t="str">
        <f t="shared" si="28"/>
        <v>Actual</v>
      </c>
      <c r="L468" s="1">
        <f t="shared" si="29"/>
        <v>12.0456905503634</v>
      </c>
      <c r="M468" s="1">
        <f t="shared" si="30"/>
        <v>9.9688473520249197</v>
      </c>
      <c r="N468" s="1" t="str">
        <f t="shared" si="31"/>
        <v>Equipment</v>
      </c>
    </row>
    <row r="469" spans="1:14">
      <c r="A469" s="8">
        <v>2018</v>
      </c>
      <c r="B469" s="8" t="s">
        <v>183</v>
      </c>
      <c r="C469" s="8">
        <v>8035</v>
      </c>
      <c r="D469" s="8" t="s">
        <v>165</v>
      </c>
      <c r="E469" s="8" t="s">
        <v>176</v>
      </c>
      <c r="F469" s="8">
        <v>11.41</v>
      </c>
      <c r="G469" s="8">
        <v>31.8</v>
      </c>
      <c r="H469" s="8">
        <v>3.62</v>
      </c>
      <c r="I469" s="8">
        <v>1.37</v>
      </c>
      <c r="J469" s="8">
        <v>1.1399999999999999</v>
      </c>
      <c r="K469" s="2" t="str">
        <f t="shared" si="28"/>
        <v>Actual</v>
      </c>
      <c r="L469" s="1">
        <f t="shared" si="29"/>
        <v>12.0070113935145</v>
      </c>
      <c r="M469" s="1">
        <f t="shared" si="30"/>
        <v>9.9912357581069209</v>
      </c>
      <c r="N469" s="1" t="str">
        <f t="shared" si="31"/>
        <v>Equipment</v>
      </c>
    </row>
    <row r="470" spans="1:14">
      <c r="A470" s="8">
        <v>2019</v>
      </c>
      <c r="B470" s="8" t="s">
        <v>183</v>
      </c>
      <c r="C470" s="8">
        <v>8035</v>
      </c>
      <c r="D470" s="8" t="s">
        <v>165</v>
      </c>
      <c r="E470" s="8" t="s">
        <v>176</v>
      </c>
      <c r="F470" s="8">
        <v>10.82</v>
      </c>
      <c r="G470" s="8">
        <v>29.7</v>
      </c>
      <c r="H470" s="8">
        <v>3.22</v>
      </c>
      <c r="I470" s="8">
        <v>1.3</v>
      </c>
      <c r="J470" s="8">
        <v>1.08</v>
      </c>
      <c r="K470" s="2" t="str">
        <f t="shared" si="28"/>
        <v>Actual</v>
      </c>
      <c r="L470" s="1">
        <f t="shared" si="29"/>
        <v>12.014787430683899</v>
      </c>
      <c r="M470" s="1">
        <f t="shared" si="30"/>
        <v>9.9815157116451001</v>
      </c>
      <c r="N470" s="1" t="str">
        <f t="shared" si="31"/>
        <v>Equipment</v>
      </c>
    </row>
    <row r="471" spans="1:14">
      <c r="A471" s="8">
        <v>2020</v>
      </c>
      <c r="B471" s="8" t="s">
        <v>183</v>
      </c>
      <c r="C471" s="8">
        <v>8035</v>
      </c>
      <c r="D471" s="8" t="s">
        <v>165</v>
      </c>
      <c r="E471" s="8" t="s">
        <v>176</v>
      </c>
      <c r="F471" s="8">
        <v>11.42</v>
      </c>
      <c r="G471" s="8">
        <v>32.6</v>
      </c>
      <c r="H471" s="8">
        <v>3.72</v>
      </c>
      <c r="I471" s="8">
        <v>1.37</v>
      </c>
      <c r="J471" s="8">
        <v>1.1399999999999999</v>
      </c>
      <c r="K471" s="2" t="str">
        <f t="shared" si="28"/>
        <v>Actual</v>
      </c>
      <c r="L471" s="1">
        <f t="shared" si="29"/>
        <v>11.996497373029801</v>
      </c>
      <c r="M471" s="1">
        <f t="shared" si="30"/>
        <v>9.9824868651488607</v>
      </c>
      <c r="N471" s="1" t="str">
        <f t="shared" si="31"/>
        <v>Equipment</v>
      </c>
    </row>
    <row r="472" spans="1:14">
      <c r="A472" s="8">
        <v>2021</v>
      </c>
      <c r="B472" s="8" t="s">
        <v>183</v>
      </c>
      <c r="C472" s="8">
        <v>8035</v>
      </c>
      <c r="D472" s="8" t="s">
        <v>165</v>
      </c>
      <c r="E472" s="8" t="s">
        <v>176</v>
      </c>
      <c r="F472" s="8">
        <v>13.79</v>
      </c>
      <c r="G472" s="8">
        <v>32.700000000000003</v>
      </c>
      <c r="H472" s="8">
        <v>4.5</v>
      </c>
      <c r="I472" s="8">
        <v>1.65</v>
      </c>
      <c r="J472" s="8">
        <v>1.38</v>
      </c>
      <c r="K472" s="2" t="str">
        <f t="shared" si="28"/>
        <v>Actual</v>
      </c>
      <c r="L472" s="1">
        <f t="shared" si="29"/>
        <v>11.9651921682379</v>
      </c>
      <c r="M472" s="1">
        <f t="shared" si="30"/>
        <v>10.0072516316171</v>
      </c>
      <c r="N472" s="1" t="str">
        <f t="shared" si="31"/>
        <v>Equipment</v>
      </c>
    </row>
    <row r="473" spans="1:14">
      <c r="A473" s="8">
        <v>2022</v>
      </c>
      <c r="B473" s="8" t="s">
        <v>183</v>
      </c>
      <c r="C473" s="8">
        <v>8035</v>
      </c>
      <c r="D473" s="8" t="s">
        <v>165</v>
      </c>
      <c r="E473" s="8" t="s">
        <v>176</v>
      </c>
      <c r="F473" s="8">
        <v>16.54</v>
      </c>
      <c r="G473" s="8">
        <v>33.6</v>
      </c>
      <c r="H473" s="8">
        <v>5.56</v>
      </c>
      <c r="I473" s="8">
        <v>1.99</v>
      </c>
      <c r="J473" s="8">
        <v>1.65</v>
      </c>
      <c r="K473" s="2" t="str">
        <f t="shared" si="28"/>
        <v>Actual</v>
      </c>
      <c r="L473" s="1">
        <f t="shared" si="29"/>
        <v>12.031438935912901</v>
      </c>
      <c r="M473" s="1">
        <f t="shared" si="30"/>
        <v>9.9758162031438893</v>
      </c>
      <c r="N473" s="1" t="str">
        <f t="shared" si="31"/>
        <v>Equipment</v>
      </c>
    </row>
    <row r="474" spans="1:14">
      <c r="A474" s="8">
        <v>2023</v>
      </c>
      <c r="B474" s="8" t="s">
        <v>183</v>
      </c>
      <c r="C474" s="8">
        <v>8035</v>
      </c>
      <c r="D474" s="8" t="s">
        <v>165</v>
      </c>
      <c r="E474" s="8" t="s">
        <v>176</v>
      </c>
      <c r="F474" s="8">
        <v>14.63</v>
      </c>
      <c r="G474" s="8">
        <v>28.9</v>
      </c>
      <c r="H474" s="8">
        <v>4.2300000000000004</v>
      </c>
      <c r="I474" s="8">
        <v>1.76</v>
      </c>
      <c r="J474" s="8">
        <v>1.46</v>
      </c>
      <c r="K474" s="2" t="str">
        <f t="shared" si="28"/>
        <v>Actual</v>
      </c>
      <c r="L474" s="1">
        <f t="shared" si="29"/>
        <v>12.030075187969899</v>
      </c>
      <c r="M474" s="1">
        <f t="shared" si="30"/>
        <v>9.9794941900204996</v>
      </c>
      <c r="N474" s="1" t="str">
        <f t="shared" si="31"/>
        <v>Equipment</v>
      </c>
    </row>
    <row r="475" spans="1:14">
      <c r="A475" s="8">
        <v>2024</v>
      </c>
      <c r="B475" s="8" t="s">
        <v>183</v>
      </c>
      <c r="C475" s="8">
        <v>8035</v>
      </c>
      <c r="D475" s="8" t="s">
        <v>165</v>
      </c>
      <c r="E475" s="8" t="s">
        <v>176</v>
      </c>
      <c r="F475" s="8">
        <v>13.64</v>
      </c>
      <c r="G475" s="8">
        <v>21.2</v>
      </c>
      <c r="H475" s="8">
        <v>2.89</v>
      </c>
      <c r="I475" s="8">
        <v>1.64</v>
      </c>
      <c r="J475" s="8">
        <v>1.36</v>
      </c>
      <c r="K475" s="2" t="str">
        <f t="shared" si="28"/>
        <v>Actual</v>
      </c>
      <c r="L475" s="1">
        <f t="shared" si="29"/>
        <v>12.023460410557201</v>
      </c>
      <c r="M475" s="1">
        <f t="shared" si="30"/>
        <v>9.9706744868035209</v>
      </c>
      <c r="N475" s="1" t="str">
        <f t="shared" si="31"/>
        <v>Equipment</v>
      </c>
    </row>
    <row r="476" spans="1:14">
      <c r="A476" s="8">
        <v>2025</v>
      </c>
      <c r="B476" s="8" t="s">
        <v>183</v>
      </c>
      <c r="C476" s="8">
        <v>8035</v>
      </c>
      <c r="D476" s="8" t="s">
        <v>165</v>
      </c>
      <c r="E476" s="8" t="s">
        <v>176</v>
      </c>
      <c r="F476" s="8">
        <v>15.68</v>
      </c>
      <c r="G476" s="8">
        <v>19.100000000000001</v>
      </c>
      <c r="H476" s="8">
        <v>2.99</v>
      </c>
      <c r="I476" s="8">
        <v>1.88</v>
      </c>
      <c r="J476" s="8">
        <v>1.57</v>
      </c>
      <c r="K476" s="2" t="str">
        <f t="shared" si="28"/>
        <v>Forecast</v>
      </c>
      <c r="L476" s="1">
        <f t="shared" si="29"/>
        <v>11.9897959183673</v>
      </c>
      <c r="M476" s="1">
        <f t="shared" si="30"/>
        <v>10.012755102040799</v>
      </c>
      <c r="N476" s="1" t="str">
        <f t="shared" si="31"/>
        <v>Equipment</v>
      </c>
    </row>
    <row r="477" spans="1:14">
      <c r="A477" s="8">
        <v>2026</v>
      </c>
      <c r="B477" s="8" t="s">
        <v>183</v>
      </c>
      <c r="C477" s="8">
        <v>8035</v>
      </c>
      <c r="D477" s="8" t="s">
        <v>165</v>
      </c>
      <c r="E477" s="8" t="s">
        <v>176</v>
      </c>
      <c r="F477" s="8">
        <v>16.62</v>
      </c>
      <c r="G477" s="8">
        <v>31.4</v>
      </c>
      <c r="H477" s="8">
        <v>5.21</v>
      </c>
      <c r="I477" s="8">
        <v>1.99</v>
      </c>
      <c r="J477" s="8">
        <v>1.66</v>
      </c>
      <c r="K477" s="2" t="str">
        <f t="shared" si="28"/>
        <v>Forecast</v>
      </c>
      <c r="L477" s="1">
        <f t="shared" si="29"/>
        <v>11.973525872442799</v>
      </c>
      <c r="M477" s="1">
        <f t="shared" si="30"/>
        <v>9.9879663056558297</v>
      </c>
      <c r="N477" s="1" t="str">
        <f t="shared" si="31"/>
        <v>Equipment</v>
      </c>
    </row>
    <row r="478" spans="1:14">
      <c r="A478" s="8">
        <v>2010</v>
      </c>
      <c r="B478" s="8" t="s">
        <v>184</v>
      </c>
      <c r="C478" s="8">
        <v>7735</v>
      </c>
      <c r="D478" s="8" t="s">
        <v>165</v>
      </c>
      <c r="E478" s="8" t="s">
        <v>185</v>
      </c>
      <c r="F478" s="8">
        <v>1.83</v>
      </c>
      <c r="G478" s="8">
        <v>16.5</v>
      </c>
      <c r="H478" s="8">
        <v>0.3</v>
      </c>
      <c r="I478" s="8">
        <v>0.22</v>
      </c>
      <c r="J478" s="8">
        <v>0.18</v>
      </c>
      <c r="K478" s="2" t="str">
        <f t="shared" si="28"/>
        <v>Actual</v>
      </c>
      <c r="L478" s="1">
        <f t="shared" si="29"/>
        <v>12.021857923497301</v>
      </c>
      <c r="M478" s="1">
        <f t="shared" si="30"/>
        <v>9.8360655737704903</v>
      </c>
      <c r="N478" s="1" t="str">
        <f t="shared" si="31"/>
        <v>Equipment</v>
      </c>
    </row>
    <row r="479" spans="1:14">
      <c r="A479" s="8">
        <v>2011</v>
      </c>
      <c r="B479" s="8" t="s">
        <v>184</v>
      </c>
      <c r="C479" s="8">
        <v>7735</v>
      </c>
      <c r="D479" s="8" t="s">
        <v>165</v>
      </c>
      <c r="E479" s="8" t="s">
        <v>185</v>
      </c>
      <c r="F479" s="8">
        <v>1.86</v>
      </c>
      <c r="G479" s="8">
        <v>24.1</v>
      </c>
      <c r="H479" s="8">
        <v>0.45</v>
      </c>
      <c r="I479" s="8">
        <v>0.22</v>
      </c>
      <c r="J479" s="8">
        <v>0.19</v>
      </c>
      <c r="K479" s="2" t="str">
        <f t="shared" si="28"/>
        <v>Actual</v>
      </c>
      <c r="L479" s="1">
        <f t="shared" si="29"/>
        <v>11.8279569892473</v>
      </c>
      <c r="M479" s="1">
        <f t="shared" si="30"/>
        <v>10.215053763440901</v>
      </c>
      <c r="N479" s="1" t="str">
        <f t="shared" si="31"/>
        <v>Equipment</v>
      </c>
    </row>
    <row r="480" spans="1:14">
      <c r="A480" s="8">
        <v>2012</v>
      </c>
      <c r="B480" s="8" t="s">
        <v>184</v>
      </c>
      <c r="C480" s="8">
        <v>7735</v>
      </c>
      <c r="D480" s="8" t="s">
        <v>165</v>
      </c>
      <c r="E480" s="8" t="s">
        <v>185</v>
      </c>
      <c r="F480" s="8">
        <v>1.97</v>
      </c>
      <c r="G480" s="8">
        <v>26.7</v>
      </c>
      <c r="H480" s="8">
        <v>0.53</v>
      </c>
      <c r="I480" s="8">
        <v>0.24</v>
      </c>
      <c r="J480" s="8">
        <v>0.2</v>
      </c>
      <c r="K480" s="2" t="str">
        <f t="shared" si="28"/>
        <v>Actual</v>
      </c>
      <c r="L480" s="1">
        <f t="shared" si="29"/>
        <v>12.1827411167513</v>
      </c>
      <c r="M480" s="1">
        <f t="shared" si="30"/>
        <v>10.1522842639594</v>
      </c>
      <c r="N480" s="1" t="str">
        <f t="shared" si="31"/>
        <v>Equipment</v>
      </c>
    </row>
    <row r="481" spans="1:14">
      <c r="A481" s="8">
        <v>2013</v>
      </c>
      <c r="B481" s="8" t="s">
        <v>184</v>
      </c>
      <c r="C481" s="8">
        <v>7735</v>
      </c>
      <c r="D481" s="8" t="s">
        <v>165</v>
      </c>
      <c r="E481" s="8" t="s">
        <v>185</v>
      </c>
      <c r="F481" s="8">
        <v>2.1</v>
      </c>
      <c r="G481" s="8">
        <v>21.2</v>
      </c>
      <c r="H481" s="8">
        <v>0.45</v>
      </c>
      <c r="I481" s="8">
        <v>0.25</v>
      </c>
      <c r="J481" s="8">
        <v>0.21</v>
      </c>
      <c r="K481" s="2" t="str">
        <f t="shared" si="28"/>
        <v>Actual</v>
      </c>
      <c r="L481" s="1">
        <f t="shared" si="29"/>
        <v>11.9047619047619</v>
      </c>
      <c r="M481" s="1">
        <f t="shared" si="30"/>
        <v>10</v>
      </c>
      <c r="N481" s="1" t="str">
        <f t="shared" si="31"/>
        <v>Equipment</v>
      </c>
    </row>
    <row r="482" spans="1:14">
      <c r="A482" s="8">
        <v>2014</v>
      </c>
      <c r="B482" s="8" t="s">
        <v>184</v>
      </c>
      <c r="C482" s="8">
        <v>7735</v>
      </c>
      <c r="D482" s="8" t="s">
        <v>165</v>
      </c>
      <c r="E482" s="8" t="s">
        <v>185</v>
      </c>
      <c r="F482" s="8">
        <v>2.31</v>
      </c>
      <c r="G482" s="8">
        <v>20.399999999999999</v>
      </c>
      <c r="H482" s="8">
        <v>0.47</v>
      </c>
      <c r="I482" s="8">
        <v>0.28000000000000003</v>
      </c>
      <c r="J482" s="8">
        <v>0.23</v>
      </c>
      <c r="K482" s="2" t="str">
        <f t="shared" si="28"/>
        <v>Actual</v>
      </c>
      <c r="L482" s="1">
        <f t="shared" si="29"/>
        <v>12.1212121212121</v>
      </c>
      <c r="M482" s="1">
        <f t="shared" si="30"/>
        <v>9.9567099567099593</v>
      </c>
      <c r="N482" s="1" t="str">
        <f t="shared" si="31"/>
        <v>Equipment</v>
      </c>
    </row>
    <row r="483" spans="1:14">
      <c r="A483" s="8">
        <v>2015</v>
      </c>
      <c r="B483" s="8" t="s">
        <v>184</v>
      </c>
      <c r="C483" s="8">
        <v>7735</v>
      </c>
      <c r="D483" s="8" t="s">
        <v>165</v>
      </c>
      <c r="E483" s="8" t="s">
        <v>185</v>
      </c>
      <c r="F483" s="8">
        <v>2.23</v>
      </c>
      <c r="G483" s="8">
        <v>19.7</v>
      </c>
      <c r="H483" s="8">
        <v>0.44</v>
      </c>
      <c r="I483" s="8">
        <v>0.27</v>
      </c>
      <c r="J483" s="8">
        <v>0.22</v>
      </c>
      <c r="K483" s="2" t="str">
        <f t="shared" si="28"/>
        <v>Actual</v>
      </c>
      <c r="L483" s="1">
        <f t="shared" si="29"/>
        <v>12.1076233183857</v>
      </c>
      <c r="M483" s="1">
        <f t="shared" si="30"/>
        <v>9.8654708520179408</v>
      </c>
      <c r="N483" s="1" t="str">
        <f t="shared" si="31"/>
        <v>Equipment</v>
      </c>
    </row>
    <row r="484" spans="1:14">
      <c r="A484" s="8">
        <v>2016</v>
      </c>
      <c r="B484" s="8" t="s">
        <v>184</v>
      </c>
      <c r="C484" s="8">
        <v>7735</v>
      </c>
      <c r="D484" s="8" t="s">
        <v>165</v>
      </c>
      <c r="E484" s="8" t="s">
        <v>185</v>
      </c>
      <c r="F484" s="8">
        <v>2.5</v>
      </c>
      <c r="G484" s="8">
        <v>15.9</v>
      </c>
      <c r="H484" s="8">
        <v>0.4</v>
      </c>
      <c r="I484" s="8">
        <v>0.3</v>
      </c>
      <c r="J484" s="8">
        <v>0.25</v>
      </c>
      <c r="K484" s="2" t="str">
        <f t="shared" si="28"/>
        <v>Actual</v>
      </c>
      <c r="L484" s="1">
        <f t="shared" si="29"/>
        <v>12</v>
      </c>
      <c r="M484" s="1">
        <f t="shared" si="30"/>
        <v>10</v>
      </c>
      <c r="N484" s="1" t="str">
        <f t="shared" si="31"/>
        <v>Equipment</v>
      </c>
    </row>
    <row r="485" spans="1:14">
      <c r="A485" s="8">
        <v>2017</v>
      </c>
      <c r="B485" s="8" t="s">
        <v>184</v>
      </c>
      <c r="C485" s="8">
        <v>7735</v>
      </c>
      <c r="D485" s="8" t="s">
        <v>165</v>
      </c>
      <c r="E485" s="8" t="s">
        <v>185</v>
      </c>
      <c r="F485" s="8">
        <v>2.68</v>
      </c>
      <c r="G485" s="8">
        <v>17.8</v>
      </c>
      <c r="H485" s="8">
        <v>0.48</v>
      </c>
      <c r="I485" s="8">
        <v>0.32</v>
      </c>
      <c r="J485" s="8">
        <v>0.27</v>
      </c>
      <c r="K485" s="2" t="str">
        <f t="shared" si="28"/>
        <v>Actual</v>
      </c>
      <c r="L485" s="1">
        <f t="shared" si="29"/>
        <v>11.9402985074627</v>
      </c>
      <c r="M485" s="1">
        <f t="shared" si="30"/>
        <v>10.0746268656716</v>
      </c>
      <c r="N485" s="1" t="str">
        <f t="shared" si="31"/>
        <v>Equipment</v>
      </c>
    </row>
    <row r="486" spans="1:14">
      <c r="A486" s="8">
        <v>2018</v>
      </c>
      <c r="B486" s="8" t="s">
        <v>184</v>
      </c>
      <c r="C486" s="8">
        <v>7735</v>
      </c>
      <c r="D486" s="8" t="s">
        <v>165</v>
      </c>
      <c r="E486" s="8" t="s">
        <v>185</v>
      </c>
      <c r="F486" s="8">
        <v>2.98</v>
      </c>
      <c r="G486" s="8">
        <v>20.100000000000001</v>
      </c>
      <c r="H486" s="8">
        <v>0.6</v>
      </c>
      <c r="I486" s="8">
        <v>0.36</v>
      </c>
      <c r="J486" s="8">
        <v>0.3</v>
      </c>
      <c r="K486" s="2" t="str">
        <f t="shared" si="28"/>
        <v>Actual</v>
      </c>
      <c r="L486" s="1">
        <f t="shared" si="29"/>
        <v>12.0805369127517</v>
      </c>
      <c r="M486" s="1">
        <f t="shared" si="30"/>
        <v>10.067114093959701</v>
      </c>
      <c r="N486" s="1" t="str">
        <f t="shared" si="31"/>
        <v>Equipment</v>
      </c>
    </row>
    <row r="487" spans="1:14">
      <c r="A487" s="8">
        <v>2019</v>
      </c>
      <c r="B487" s="8" t="s">
        <v>184</v>
      </c>
      <c r="C487" s="8">
        <v>7735</v>
      </c>
      <c r="D487" s="8" t="s">
        <v>165</v>
      </c>
      <c r="E487" s="8" t="s">
        <v>185</v>
      </c>
      <c r="F487" s="8">
        <v>2.78</v>
      </c>
      <c r="G487" s="8">
        <v>19.7</v>
      </c>
      <c r="H487" s="8">
        <v>0.55000000000000004</v>
      </c>
      <c r="I487" s="8">
        <v>0.33</v>
      </c>
      <c r="J487" s="8">
        <v>0.28000000000000003</v>
      </c>
      <c r="K487" s="2" t="str">
        <f t="shared" si="28"/>
        <v>Actual</v>
      </c>
      <c r="L487" s="1">
        <f t="shared" si="29"/>
        <v>11.870503597122299</v>
      </c>
      <c r="M487" s="1">
        <f t="shared" si="30"/>
        <v>10.071942446043201</v>
      </c>
      <c r="N487" s="1" t="str">
        <f t="shared" si="31"/>
        <v>Equipment</v>
      </c>
    </row>
    <row r="488" spans="1:14">
      <c r="A488" s="8">
        <v>2020</v>
      </c>
      <c r="B488" s="8" t="s">
        <v>184</v>
      </c>
      <c r="C488" s="8">
        <v>7735</v>
      </c>
      <c r="D488" s="8" t="s">
        <v>165</v>
      </c>
      <c r="E488" s="8" t="s">
        <v>185</v>
      </c>
      <c r="F488" s="8">
        <v>2.72</v>
      </c>
      <c r="G488" s="8">
        <v>21.9</v>
      </c>
      <c r="H488" s="8">
        <v>0.59</v>
      </c>
      <c r="I488" s="8">
        <v>0.33</v>
      </c>
      <c r="J488" s="8">
        <v>0.27</v>
      </c>
      <c r="K488" s="2" t="str">
        <f t="shared" si="28"/>
        <v>Actual</v>
      </c>
      <c r="L488" s="1">
        <f t="shared" si="29"/>
        <v>12.132352941176499</v>
      </c>
      <c r="M488" s="1">
        <f t="shared" si="30"/>
        <v>9.9264705882352899</v>
      </c>
      <c r="N488" s="1" t="str">
        <f t="shared" si="31"/>
        <v>Equipment</v>
      </c>
    </row>
    <row r="489" spans="1:14">
      <c r="A489" s="8">
        <v>2021</v>
      </c>
      <c r="B489" s="8" t="s">
        <v>184</v>
      </c>
      <c r="C489" s="8">
        <v>7735</v>
      </c>
      <c r="D489" s="8" t="s">
        <v>165</v>
      </c>
      <c r="E489" s="8" t="s">
        <v>185</v>
      </c>
      <c r="F489" s="8">
        <v>3.2</v>
      </c>
      <c r="G489" s="8">
        <v>16.899999999999999</v>
      </c>
      <c r="H489" s="8">
        <v>0.54</v>
      </c>
      <c r="I489" s="8">
        <v>0.38</v>
      </c>
      <c r="J489" s="8">
        <v>0.32</v>
      </c>
      <c r="K489" s="2" t="str">
        <f t="shared" si="28"/>
        <v>Actual</v>
      </c>
      <c r="L489" s="1">
        <f t="shared" si="29"/>
        <v>11.875</v>
      </c>
      <c r="M489" s="1">
        <f t="shared" si="30"/>
        <v>10</v>
      </c>
      <c r="N489" s="1" t="str">
        <f t="shared" si="31"/>
        <v>Equipment</v>
      </c>
    </row>
    <row r="490" spans="1:14">
      <c r="A490" s="8">
        <v>2022</v>
      </c>
      <c r="B490" s="8" t="s">
        <v>184</v>
      </c>
      <c r="C490" s="8">
        <v>7735</v>
      </c>
      <c r="D490" s="8" t="s">
        <v>165</v>
      </c>
      <c r="E490" s="8" t="s">
        <v>185</v>
      </c>
      <c r="F490" s="8">
        <v>4.03</v>
      </c>
      <c r="G490" s="8">
        <v>18.8</v>
      </c>
      <c r="H490" s="8">
        <v>0.76</v>
      </c>
      <c r="I490" s="8">
        <v>0.48</v>
      </c>
      <c r="J490" s="8">
        <v>0.4</v>
      </c>
      <c r="K490" s="2" t="str">
        <f t="shared" si="28"/>
        <v>Actual</v>
      </c>
      <c r="L490" s="1">
        <f t="shared" si="29"/>
        <v>11.910669975186099</v>
      </c>
      <c r="M490" s="1">
        <f t="shared" si="30"/>
        <v>9.9255583126550899</v>
      </c>
      <c r="N490" s="1" t="str">
        <f t="shared" si="31"/>
        <v>Equipment</v>
      </c>
    </row>
    <row r="491" spans="1:14">
      <c r="A491" s="8">
        <v>2023</v>
      </c>
      <c r="B491" s="8" t="s">
        <v>184</v>
      </c>
      <c r="C491" s="8">
        <v>7735</v>
      </c>
      <c r="D491" s="8" t="s">
        <v>165</v>
      </c>
      <c r="E491" s="8" t="s">
        <v>185</v>
      </c>
      <c r="F491" s="8">
        <v>4.22</v>
      </c>
      <c r="G491" s="8">
        <v>21.3</v>
      </c>
      <c r="H491" s="8">
        <v>0.9</v>
      </c>
      <c r="I491" s="8">
        <v>0.51</v>
      </c>
      <c r="J491" s="8">
        <v>0.42</v>
      </c>
      <c r="K491" s="2" t="str">
        <f t="shared" si="28"/>
        <v>Actual</v>
      </c>
      <c r="L491" s="1">
        <f t="shared" si="29"/>
        <v>12.085308056872</v>
      </c>
      <c r="M491" s="1">
        <f t="shared" si="30"/>
        <v>9.9526066350710902</v>
      </c>
      <c r="N491" s="1" t="str">
        <f t="shared" si="31"/>
        <v>Equipment</v>
      </c>
    </row>
    <row r="492" spans="1:14">
      <c r="A492" s="8">
        <v>2024</v>
      </c>
      <c r="B492" s="8" t="s">
        <v>184</v>
      </c>
      <c r="C492" s="8">
        <v>7735</v>
      </c>
      <c r="D492" s="8" t="s">
        <v>165</v>
      </c>
      <c r="E492" s="8" t="s">
        <v>185</v>
      </c>
      <c r="F492" s="8">
        <v>4.26</v>
      </c>
      <c r="G492" s="8">
        <v>15.4</v>
      </c>
      <c r="H492" s="8">
        <v>0.66</v>
      </c>
      <c r="I492" s="8">
        <v>0.51</v>
      </c>
      <c r="J492" s="8">
        <v>0.43</v>
      </c>
      <c r="K492" s="2" t="str">
        <f t="shared" si="28"/>
        <v>Actual</v>
      </c>
      <c r="L492" s="1">
        <f t="shared" si="29"/>
        <v>11.971830985915499</v>
      </c>
      <c r="M492" s="1">
        <f t="shared" si="30"/>
        <v>10.093896713615001</v>
      </c>
      <c r="N492" s="1" t="str">
        <f t="shared" si="31"/>
        <v>Equipment</v>
      </c>
    </row>
    <row r="493" spans="1:14">
      <c r="A493" s="8">
        <v>2025</v>
      </c>
      <c r="B493" s="8" t="s">
        <v>184</v>
      </c>
      <c r="C493" s="8">
        <v>7735</v>
      </c>
      <c r="D493" s="8" t="s">
        <v>165</v>
      </c>
      <c r="E493" s="8" t="s">
        <v>185</v>
      </c>
      <c r="F493" s="8">
        <v>4.88</v>
      </c>
      <c r="G493" s="8">
        <v>22.2</v>
      </c>
      <c r="H493" s="8">
        <v>1.08</v>
      </c>
      <c r="I493" s="8">
        <v>0.59</v>
      </c>
      <c r="J493" s="8">
        <v>0.49</v>
      </c>
      <c r="K493" s="2" t="str">
        <f t="shared" si="28"/>
        <v>Forecast</v>
      </c>
      <c r="L493" s="1">
        <f t="shared" si="29"/>
        <v>12.090163934426201</v>
      </c>
      <c r="M493" s="1">
        <f t="shared" si="30"/>
        <v>10.040983606557401</v>
      </c>
      <c r="N493" s="1" t="str">
        <f t="shared" si="31"/>
        <v>Equipment</v>
      </c>
    </row>
    <row r="494" spans="1:14">
      <c r="A494" s="8">
        <v>2026</v>
      </c>
      <c r="B494" s="8" t="s">
        <v>184</v>
      </c>
      <c r="C494" s="8">
        <v>7735</v>
      </c>
      <c r="D494" s="8" t="s">
        <v>165</v>
      </c>
      <c r="E494" s="8" t="s">
        <v>185</v>
      </c>
      <c r="F494" s="8">
        <v>5.56</v>
      </c>
      <c r="G494" s="8">
        <v>21.9</v>
      </c>
      <c r="H494" s="8">
        <v>1.22</v>
      </c>
      <c r="I494" s="8">
        <v>0.67</v>
      </c>
      <c r="J494" s="8">
        <v>0.56000000000000005</v>
      </c>
      <c r="K494" s="2" t="str">
        <f t="shared" si="28"/>
        <v>Forecast</v>
      </c>
      <c r="L494" s="1">
        <f t="shared" si="29"/>
        <v>12.0503597122302</v>
      </c>
      <c r="M494" s="1">
        <f t="shared" si="30"/>
        <v>10.071942446043201</v>
      </c>
      <c r="N494" s="1" t="str">
        <f t="shared" si="31"/>
        <v>Equipment</v>
      </c>
    </row>
    <row r="495" spans="1:14">
      <c r="A495" s="8">
        <v>2010</v>
      </c>
      <c r="B495" s="8" t="s">
        <v>186</v>
      </c>
      <c r="C495" s="8" t="s">
        <v>187</v>
      </c>
      <c r="D495" s="8" t="s">
        <v>121</v>
      </c>
      <c r="E495" s="8" t="s">
        <v>188</v>
      </c>
      <c r="F495" s="8">
        <v>1.34</v>
      </c>
      <c r="G495" s="8">
        <v>41</v>
      </c>
      <c r="H495" s="8">
        <v>0.55000000000000004</v>
      </c>
      <c r="I495" s="8">
        <v>0.47</v>
      </c>
      <c r="J495" s="8">
        <v>0.01</v>
      </c>
      <c r="K495" s="2" t="str">
        <f t="shared" si="28"/>
        <v>Actual</v>
      </c>
      <c r="L495" s="1">
        <f t="shared" si="29"/>
        <v>35.074626865671597</v>
      </c>
      <c r="M495" s="1">
        <f t="shared" si="30"/>
        <v>0.74626865671641796</v>
      </c>
      <c r="N495" s="1" t="str">
        <f t="shared" si="31"/>
        <v>EDA Software</v>
      </c>
    </row>
    <row r="496" spans="1:14">
      <c r="A496" s="8">
        <v>2011</v>
      </c>
      <c r="B496" s="8" t="s">
        <v>186</v>
      </c>
      <c r="C496" s="8" t="s">
        <v>187</v>
      </c>
      <c r="D496" s="8" t="s">
        <v>121</v>
      </c>
      <c r="E496" s="8" t="s">
        <v>188</v>
      </c>
      <c r="F496" s="8">
        <v>1.55</v>
      </c>
      <c r="G496" s="8">
        <v>38.6</v>
      </c>
      <c r="H496" s="8">
        <v>0.6</v>
      </c>
      <c r="I496" s="8">
        <v>0.54</v>
      </c>
      <c r="J496" s="8">
        <v>0.02</v>
      </c>
      <c r="K496" s="2" t="str">
        <f t="shared" si="28"/>
        <v>Actual</v>
      </c>
      <c r="L496" s="1">
        <f t="shared" si="29"/>
        <v>34.838709677419402</v>
      </c>
      <c r="M496" s="1">
        <f t="shared" si="30"/>
        <v>1.2903225806451599</v>
      </c>
      <c r="N496" s="1" t="str">
        <f t="shared" si="31"/>
        <v>EDA Software</v>
      </c>
    </row>
    <row r="497" spans="1:14">
      <c r="A497" s="8">
        <v>2012</v>
      </c>
      <c r="B497" s="8" t="s">
        <v>186</v>
      </c>
      <c r="C497" s="8" t="s">
        <v>187</v>
      </c>
      <c r="D497" s="8" t="s">
        <v>121</v>
      </c>
      <c r="E497" s="8" t="s">
        <v>188</v>
      </c>
      <c r="F497" s="8">
        <v>1.77</v>
      </c>
      <c r="G497" s="8">
        <v>44.4</v>
      </c>
      <c r="H497" s="8">
        <v>0.78</v>
      </c>
      <c r="I497" s="8">
        <v>0.62</v>
      </c>
      <c r="J497" s="8">
        <v>0.02</v>
      </c>
      <c r="K497" s="2" t="str">
        <f t="shared" si="28"/>
        <v>Actual</v>
      </c>
      <c r="L497" s="1">
        <f t="shared" si="29"/>
        <v>35.028248587570602</v>
      </c>
      <c r="M497" s="1">
        <f t="shared" si="30"/>
        <v>1.1299435028248599</v>
      </c>
      <c r="N497" s="1" t="str">
        <f t="shared" si="31"/>
        <v>EDA Software</v>
      </c>
    </row>
    <row r="498" spans="1:14">
      <c r="A498" s="8">
        <v>2013</v>
      </c>
      <c r="B498" s="8" t="s">
        <v>186</v>
      </c>
      <c r="C498" s="8" t="s">
        <v>187</v>
      </c>
      <c r="D498" s="8" t="s">
        <v>121</v>
      </c>
      <c r="E498" s="8" t="s">
        <v>188</v>
      </c>
      <c r="F498" s="8">
        <v>1.98</v>
      </c>
      <c r="G498" s="8">
        <v>43.9</v>
      </c>
      <c r="H498" s="8">
        <v>0.87</v>
      </c>
      <c r="I498" s="8">
        <v>0.69</v>
      </c>
      <c r="J498" s="8">
        <v>0.02</v>
      </c>
      <c r="K498" s="2" t="str">
        <f t="shared" si="28"/>
        <v>Actual</v>
      </c>
      <c r="L498" s="1">
        <f t="shared" si="29"/>
        <v>34.848484848484802</v>
      </c>
      <c r="M498" s="1">
        <f t="shared" si="30"/>
        <v>1.0101010101010099</v>
      </c>
      <c r="N498" s="1" t="str">
        <f t="shared" si="31"/>
        <v>EDA Software</v>
      </c>
    </row>
    <row r="499" spans="1:14">
      <c r="A499" s="8">
        <v>2014</v>
      </c>
      <c r="B499" s="8" t="s">
        <v>186</v>
      </c>
      <c r="C499" s="8" t="s">
        <v>187</v>
      </c>
      <c r="D499" s="8" t="s">
        <v>121</v>
      </c>
      <c r="E499" s="8" t="s">
        <v>188</v>
      </c>
      <c r="F499" s="8">
        <v>2.0299999999999998</v>
      </c>
      <c r="G499" s="8">
        <v>41.1</v>
      </c>
      <c r="H499" s="8">
        <v>0.83</v>
      </c>
      <c r="I499" s="8">
        <v>0.71</v>
      </c>
      <c r="J499" s="8">
        <v>0.02</v>
      </c>
      <c r="K499" s="2" t="str">
        <f t="shared" si="28"/>
        <v>Actual</v>
      </c>
      <c r="L499" s="1">
        <f t="shared" si="29"/>
        <v>34.9753694581281</v>
      </c>
      <c r="M499" s="1">
        <f t="shared" si="30"/>
        <v>0.98522167487684698</v>
      </c>
      <c r="N499" s="1" t="str">
        <f t="shared" si="31"/>
        <v>EDA Software</v>
      </c>
    </row>
    <row r="500" spans="1:14">
      <c r="A500" s="8">
        <v>2015</v>
      </c>
      <c r="B500" s="8" t="s">
        <v>186</v>
      </c>
      <c r="C500" s="8" t="s">
        <v>187</v>
      </c>
      <c r="D500" s="8" t="s">
        <v>121</v>
      </c>
      <c r="E500" s="8" t="s">
        <v>188</v>
      </c>
      <c r="F500" s="8">
        <v>2.25</v>
      </c>
      <c r="G500" s="8">
        <v>40.4</v>
      </c>
      <c r="H500" s="8">
        <v>0.91</v>
      </c>
      <c r="I500" s="8">
        <v>0.79</v>
      </c>
      <c r="J500" s="8">
        <v>0.02</v>
      </c>
      <c r="K500" s="2" t="str">
        <f t="shared" si="28"/>
        <v>Actual</v>
      </c>
      <c r="L500" s="1">
        <f t="shared" si="29"/>
        <v>35.1111111111111</v>
      </c>
      <c r="M500" s="1">
        <f t="shared" si="30"/>
        <v>0.88888888888888895</v>
      </c>
      <c r="N500" s="1" t="str">
        <f t="shared" si="31"/>
        <v>EDA Software</v>
      </c>
    </row>
    <row r="501" spans="1:14">
      <c r="A501" s="8">
        <v>2016</v>
      </c>
      <c r="B501" s="8" t="s">
        <v>186</v>
      </c>
      <c r="C501" s="8" t="s">
        <v>187</v>
      </c>
      <c r="D501" s="8" t="s">
        <v>121</v>
      </c>
      <c r="E501" s="8" t="s">
        <v>188</v>
      </c>
      <c r="F501" s="8">
        <v>2.5099999999999998</v>
      </c>
      <c r="G501" s="8">
        <v>42.5</v>
      </c>
      <c r="H501" s="8">
        <v>1.07</v>
      </c>
      <c r="I501" s="8">
        <v>0.88</v>
      </c>
      <c r="J501" s="8">
        <v>0.03</v>
      </c>
      <c r="K501" s="2" t="str">
        <f t="shared" si="28"/>
        <v>Actual</v>
      </c>
      <c r="L501" s="1">
        <f t="shared" si="29"/>
        <v>35.059760956175303</v>
      </c>
      <c r="M501" s="1">
        <f t="shared" si="30"/>
        <v>1.1952191235059799</v>
      </c>
      <c r="N501" s="1" t="str">
        <f t="shared" si="31"/>
        <v>EDA Software</v>
      </c>
    </row>
    <row r="502" spans="1:14">
      <c r="A502" s="8">
        <v>2017</v>
      </c>
      <c r="B502" s="8" t="s">
        <v>186</v>
      </c>
      <c r="C502" s="8" t="s">
        <v>187</v>
      </c>
      <c r="D502" s="8" t="s">
        <v>121</v>
      </c>
      <c r="E502" s="8" t="s">
        <v>188</v>
      </c>
      <c r="F502" s="8">
        <v>2.8</v>
      </c>
      <c r="G502" s="8">
        <v>37.799999999999997</v>
      </c>
      <c r="H502" s="8">
        <v>1.06</v>
      </c>
      <c r="I502" s="8">
        <v>0.98</v>
      </c>
      <c r="J502" s="8">
        <v>0.03</v>
      </c>
      <c r="K502" s="2" t="str">
        <f t="shared" si="28"/>
        <v>Actual</v>
      </c>
      <c r="L502" s="1">
        <f t="shared" si="29"/>
        <v>35</v>
      </c>
      <c r="M502" s="1">
        <f t="shared" si="30"/>
        <v>1.0714285714285701</v>
      </c>
      <c r="N502" s="1" t="str">
        <f t="shared" si="31"/>
        <v>EDA Software</v>
      </c>
    </row>
    <row r="503" spans="1:14">
      <c r="A503" s="8">
        <v>2018</v>
      </c>
      <c r="B503" s="8" t="s">
        <v>186</v>
      </c>
      <c r="C503" s="8" t="s">
        <v>187</v>
      </c>
      <c r="D503" s="8" t="s">
        <v>121</v>
      </c>
      <c r="E503" s="8" t="s">
        <v>188</v>
      </c>
      <c r="F503" s="8">
        <v>3.06</v>
      </c>
      <c r="G503" s="8">
        <v>41.9</v>
      </c>
      <c r="H503" s="8">
        <v>1.28</v>
      </c>
      <c r="I503" s="8">
        <v>1.07</v>
      </c>
      <c r="J503" s="8">
        <v>0.03</v>
      </c>
      <c r="K503" s="2" t="str">
        <f t="shared" si="28"/>
        <v>Actual</v>
      </c>
      <c r="L503" s="1">
        <f t="shared" si="29"/>
        <v>34.967320261437898</v>
      </c>
      <c r="M503" s="1">
        <f t="shared" si="30"/>
        <v>0.98039215686274495</v>
      </c>
      <c r="N503" s="1" t="str">
        <f t="shared" si="31"/>
        <v>EDA Software</v>
      </c>
    </row>
    <row r="504" spans="1:14">
      <c r="A504" s="8">
        <v>2019</v>
      </c>
      <c r="B504" s="8" t="s">
        <v>186</v>
      </c>
      <c r="C504" s="8" t="s">
        <v>187</v>
      </c>
      <c r="D504" s="8" t="s">
        <v>121</v>
      </c>
      <c r="E504" s="8" t="s">
        <v>188</v>
      </c>
      <c r="F504" s="8">
        <v>3.4</v>
      </c>
      <c r="G504" s="8">
        <v>41</v>
      </c>
      <c r="H504" s="8">
        <v>1.39</v>
      </c>
      <c r="I504" s="8">
        <v>1.19</v>
      </c>
      <c r="J504" s="8">
        <v>0.03</v>
      </c>
      <c r="K504" s="2" t="str">
        <f t="shared" si="28"/>
        <v>Actual</v>
      </c>
      <c r="L504" s="1">
        <f t="shared" si="29"/>
        <v>35</v>
      </c>
      <c r="M504" s="1">
        <f t="shared" si="30"/>
        <v>0.88235294117647101</v>
      </c>
      <c r="N504" s="1" t="str">
        <f t="shared" si="31"/>
        <v>EDA Software</v>
      </c>
    </row>
    <row r="505" spans="1:14">
      <c r="A505" s="8">
        <v>2020</v>
      </c>
      <c r="B505" s="8" t="s">
        <v>186</v>
      </c>
      <c r="C505" s="8" t="s">
        <v>187</v>
      </c>
      <c r="D505" s="8" t="s">
        <v>121</v>
      </c>
      <c r="E505" s="8" t="s">
        <v>188</v>
      </c>
      <c r="F505" s="8">
        <v>3.78</v>
      </c>
      <c r="G505" s="8">
        <v>38.9</v>
      </c>
      <c r="H505" s="8">
        <v>1.47</v>
      </c>
      <c r="I505" s="8">
        <v>1.32</v>
      </c>
      <c r="J505" s="8">
        <v>0.04</v>
      </c>
      <c r="K505" s="2" t="str">
        <f t="shared" si="28"/>
        <v>Actual</v>
      </c>
      <c r="L505" s="1">
        <f t="shared" si="29"/>
        <v>34.920634920634903</v>
      </c>
      <c r="M505" s="1">
        <f t="shared" si="30"/>
        <v>1.0582010582010599</v>
      </c>
      <c r="N505" s="1" t="str">
        <f t="shared" si="31"/>
        <v>EDA Software</v>
      </c>
    </row>
    <row r="506" spans="1:14">
      <c r="A506" s="8">
        <v>2021</v>
      </c>
      <c r="B506" s="8" t="s">
        <v>186</v>
      </c>
      <c r="C506" s="8" t="s">
        <v>187</v>
      </c>
      <c r="D506" s="8" t="s">
        <v>121</v>
      </c>
      <c r="E506" s="8" t="s">
        <v>188</v>
      </c>
      <c r="F506" s="8">
        <v>4.45</v>
      </c>
      <c r="G506" s="8">
        <v>41.1</v>
      </c>
      <c r="H506" s="8">
        <v>1.83</v>
      </c>
      <c r="I506" s="8">
        <v>1.56</v>
      </c>
      <c r="J506" s="8">
        <v>0.04</v>
      </c>
      <c r="K506" s="2" t="str">
        <f t="shared" si="28"/>
        <v>Actual</v>
      </c>
      <c r="L506" s="1">
        <f t="shared" si="29"/>
        <v>35.056179775280903</v>
      </c>
      <c r="M506" s="1">
        <f t="shared" si="30"/>
        <v>0.898876404494382</v>
      </c>
      <c r="N506" s="1" t="str">
        <f t="shared" si="31"/>
        <v>EDA Software</v>
      </c>
    </row>
    <row r="507" spans="1:14">
      <c r="A507" s="8">
        <v>2022</v>
      </c>
      <c r="B507" s="8" t="s">
        <v>186</v>
      </c>
      <c r="C507" s="8" t="s">
        <v>187</v>
      </c>
      <c r="D507" s="8" t="s">
        <v>121</v>
      </c>
      <c r="E507" s="8" t="s">
        <v>188</v>
      </c>
      <c r="F507" s="8">
        <v>4.82</v>
      </c>
      <c r="G507" s="8">
        <v>44.3</v>
      </c>
      <c r="H507" s="8">
        <v>2.14</v>
      </c>
      <c r="I507" s="8">
        <v>1.69</v>
      </c>
      <c r="J507" s="8">
        <v>0.05</v>
      </c>
      <c r="K507" s="2" t="str">
        <f t="shared" si="28"/>
        <v>Actual</v>
      </c>
      <c r="L507" s="1">
        <f t="shared" si="29"/>
        <v>35.062240663900397</v>
      </c>
      <c r="M507" s="1">
        <f t="shared" si="30"/>
        <v>1.0373443983402499</v>
      </c>
      <c r="N507" s="1" t="str">
        <f t="shared" si="31"/>
        <v>EDA Software</v>
      </c>
    </row>
    <row r="508" spans="1:14">
      <c r="A508" s="8">
        <v>2023</v>
      </c>
      <c r="B508" s="8" t="s">
        <v>186</v>
      </c>
      <c r="C508" s="8" t="s">
        <v>187</v>
      </c>
      <c r="D508" s="8" t="s">
        <v>121</v>
      </c>
      <c r="E508" s="8" t="s">
        <v>188</v>
      </c>
      <c r="F508" s="8">
        <v>5.71</v>
      </c>
      <c r="G508" s="8">
        <v>35</v>
      </c>
      <c r="H508" s="8">
        <v>2</v>
      </c>
      <c r="I508" s="8">
        <v>2</v>
      </c>
      <c r="J508" s="8">
        <v>0.06</v>
      </c>
      <c r="K508" s="2" t="str">
        <f t="shared" si="28"/>
        <v>Actual</v>
      </c>
      <c r="L508" s="1">
        <f t="shared" si="29"/>
        <v>35.0262697022767</v>
      </c>
      <c r="M508" s="1">
        <f t="shared" si="30"/>
        <v>1.0507880910683001</v>
      </c>
      <c r="N508" s="1" t="str">
        <f t="shared" si="31"/>
        <v>EDA Software</v>
      </c>
    </row>
    <row r="509" spans="1:14">
      <c r="A509" s="8">
        <v>2024</v>
      </c>
      <c r="B509" s="8" t="s">
        <v>186</v>
      </c>
      <c r="C509" s="8" t="s">
        <v>187</v>
      </c>
      <c r="D509" s="8" t="s">
        <v>121</v>
      </c>
      <c r="E509" s="8" t="s">
        <v>188</v>
      </c>
      <c r="F509" s="8">
        <v>5.91</v>
      </c>
      <c r="G509" s="8">
        <v>36.9</v>
      </c>
      <c r="H509" s="8">
        <v>2.1800000000000002</v>
      </c>
      <c r="I509" s="8">
        <v>2.0699999999999998</v>
      </c>
      <c r="J509" s="8">
        <v>0.06</v>
      </c>
      <c r="K509" s="2" t="str">
        <f t="shared" si="28"/>
        <v>Actual</v>
      </c>
      <c r="L509" s="1">
        <f t="shared" si="29"/>
        <v>35.025380710659903</v>
      </c>
      <c r="M509" s="1">
        <f t="shared" si="30"/>
        <v>1.0152284263959399</v>
      </c>
      <c r="N509" s="1" t="str">
        <f t="shared" si="31"/>
        <v>EDA Software</v>
      </c>
    </row>
    <row r="510" spans="1:14">
      <c r="A510" s="8">
        <v>2025</v>
      </c>
      <c r="B510" s="8" t="s">
        <v>186</v>
      </c>
      <c r="C510" s="8" t="s">
        <v>187</v>
      </c>
      <c r="D510" s="8" t="s">
        <v>121</v>
      </c>
      <c r="E510" s="8" t="s">
        <v>188</v>
      </c>
      <c r="F510" s="8">
        <v>6.81</v>
      </c>
      <c r="G510" s="8">
        <v>39.200000000000003</v>
      </c>
      <c r="H510" s="8">
        <v>2.67</v>
      </c>
      <c r="I510" s="8">
        <v>2.38</v>
      </c>
      <c r="J510" s="8">
        <v>7.0000000000000007E-2</v>
      </c>
      <c r="K510" s="2" t="str">
        <f t="shared" si="28"/>
        <v>Forecast</v>
      </c>
      <c r="L510" s="1">
        <f t="shared" si="29"/>
        <v>34.948604992657899</v>
      </c>
      <c r="M510" s="1">
        <f t="shared" si="30"/>
        <v>1.0279001468428799</v>
      </c>
      <c r="N510" s="1" t="str">
        <f t="shared" si="31"/>
        <v>EDA Software</v>
      </c>
    </row>
    <row r="511" spans="1:14">
      <c r="A511" s="8">
        <v>2026</v>
      </c>
      <c r="B511" s="8" t="s">
        <v>186</v>
      </c>
      <c r="C511" s="8" t="s">
        <v>187</v>
      </c>
      <c r="D511" s="8" t="s">
        <v>121</v>
      </c>
      <c r="E511" s="8" t="s">
        <v>188</v>
      </c>
      <c r="F511" s="8">
        <v>7.42</v>
      </c>
      <c r="G511" s="8">
        <v>41.9</v>
      </c>
      <c r="H511" s="8">
        <v>3.11</v>
      </c>
      <c r="I511" s="8">
        <v>2.6</v>
      </c>
      <c r="J511" s="8">
        <v>7.0000000000000007E-2</v>
      </c>
      <c r="K511" s="2" t="str">
        <f t="shared" si="28"/>
        <v>Forecast</v>
      </c>
      <c r="L511" s="1">
        <f t="shared" si="29"/>
        <v>35.040431266846397</v>
      </c>
      <c r="M511" s="1">
        <f t="shared" si="30"/>
        <v>0.94339622641509402</v>
      </c>
      <c r="N511" s="1" t="str">
        <f t="shared" si="31"/>
        <v>EDA Software</v>
      </c>
    </row>
    <row r="512" spans="1:14">
      <c r="A512" s="8">
        <v>2010</v>
      </c>
      <c r="B512" s="8" t="s">
        <v>189</v>
      </c>
      <c r="C512" s="8" t="s">
        <v>190</v>
      </c>
      <c r="D512" s="8" t="s">
        <v>121</v>
      </c>
      <c r="E512" s="8" t="s">
        <v>188</v>
      </c>
      <c r="F512" s="8">
        <v>0.95</v>
      </c>
      <c r="G512" s="8">
        <v>40.9</v>
      </c>
      <c r="H512" s="8">
        <v>0.39</v>
      </c>
      <c r="I512" s="8">
        <v>0.33</v>
      </c>
      <c r="J512" s="8">
        <v>0.01</v>
      </c>
      <c r="K512" s="2" t="str">
        <f t="shared" si="28"/>
        <v>Actual</v>
      </c>
      <c r="L512" s="1">
        <f t="shared" si="29"/>
        <v>34.7368421052632</v>
      </c>
      <c r="M512" s="1">
        <f t="shared" si="30"/>
        <v>1.0526315789473699</v>
      </c>
      <c r="N512" s="1" t="str">
        <f t="shared" si="31"/>
        <v>EDA Software</v>
      </c>
    </row>
    <row r="513" spans="1:14">
      <c r="A513" s="8">
        <v>2011</v>
      </c>
      <c r="B513" s="8" t="s">
        <v>189</v>
      </c>
      <c r="C513" s="8" t="s">
        <v>190</v>
      </c>
      <c r="D513" s="8" t="s">
        <v>121</v>
      </c>
      <c r="E513" s="8" t="s">
        <v>188</v>
      </c>
      <c r="F513" s="8">
        <v>1.1100000000000001</v>
      </c>
      <c r="G513" s="8">
        <v>41.8</v>
      </c>
      <c r="H513" s="8">
        <v>0.46</v>
      </c>
      <c r="I513" s="8">
        <v>0.39</v>
      </c>
      <c r="J513" s="8">
        <v>0.01</v>
      </c>
      <c r="K513" s="2" t="str">
        <f t="shared" si="28"/>
        <v>Actual</v>
      </c>
      <c r="L513" s="1">
        <f t="shared" si="29"/>
        <v>35.135135135135101</v>
      </c>
      <c r="M513" s="1">
        <f t="shared" si="30"/>
        <v>0.90090090090090102</v>
      </c>
      <c r="N513" s="1" t="str">
        <f t="shared" si="31"/>
        <v>EDA Software</v>
      </c>
    </row>
    <row r="514" spans="1:14">
      <c r="A514" s="8">
        <v>2012</v>
      </c>
      <c r="B514" s="8" t="s">
        <v>189</v>
      </c>
      <c r="C514" s="8" t="s">
        <v>190</v>
      </c>
      <c r="D514" s="8" t="s">
        <v>121</v>
      </c>
      <c r="E514" s="8" t="s">
        <v>188</v>
      </c>
      <c r="F514" s="8">
        <v>1.17</v>
      </c>
      <c r="G514" s="8">
        <v>38.9</v>
      </c>
      <c r="H514" s="8">
        <v>0.45</v>
      </c>
      <c r="I514" s="8">
        <v>0.41</v>
      </c>
      <c r="J514" s="8">
        <v>0.01</v>
      </c>
      <c r="K514" s="2" t="str">
        <f t="shared" si="28"/>
        <v>Actual</v>
      </c>
      <c r="L514" s="1">
        <f t="shared" si="29"/>
        <v>35.042735042735004</v>
      </c>
      <c r="M514" s="1">
        <f t="shared" si="30"/>
        <v>0.854700854700855</v>
      </c>
      <c r="N514" s="1" t="str">
        <f t="shared" si="31"/>
        <v>EDA Software</v>
      </c>
    </row>
    <row r="515" spans="1:14">
      <c r="A515" s="8">
        <v>2013</v>
      </c>
      <c r="B515" s="8" t="s">
        <v>189</v>
      </c>
      <c r="C515" s="8" t="s">
        <v>190</v>
      </c>
      <c r="D515" s="8" t="s">
        <v>121</v>
      </c>
      <c r="E515" s="8" t="s">
        <v>188</v>
      </c>
      <c r="F515" s="8">
        <v>1.31</v>
      </c>
      <c r="G515" s="8">
        <v>40.1</v>
      </c>
      <c r="H515" s="8">
        <v>0.52</v>
      </c>
      <c r="I515" s="8">
        <v>0.46</v>
      </c>
      <c r="J515" s="8">
        <v>0.01</v>
      </c>
      <c r="K515" s="2" t="str">
        <f t="shared" ref="K515:K578" si="32">IF(A515&gt;=2025,"Forecast","Actual")</f>
        <v>Actual</v>
      </c>
      <c r="L515" s="1">
        <f t="shared" ref="L515:L578" si="33">IF(F515=0,0,I515/F515*100)</f>
        <v>35.114503816793899</v>
      </c>
      <c r="M515" s="1">
        <f t="shared" ref="M515:M578" si="34">IF(F515=0,0,J515/F515*100)</f>
        <v>0.76335877862595403</v>
      </c>
      <c r="N515" s="1" t="str">
        <f t="shared" ref="N515:N578" si="35">IF(LEFT(E515,7)="fabless","Fabless",IF(LEFT(E515,9)="equipment","Equipment",IF(E515="foundry","Manufacturer",IF(LEFT(E515,3)="idm","Manufacturer",IF(E515="eda_software","EDA Software","Other")))))</f>
        <v>EDA Software</v>
      </c>
    </row>
    <row r="516" spans="1:14">
      <c r="A516" s="8">
        <v>2014</v>
      </c>
      <c r="B516" s="8" t="s">
        <v>189</v>
      </c>
      <c r="C516" s="8" t="s">
        <v>190</v>
      </c>
      <c r="D516" s="8" t="s">
        <v>121</v>
      </c>
      <c r="E516" s="8" t="s">
        <v>188</v>
      </c>
      <c r="F516" s="8">
        <v>1.55</v>
      </c>
      <c r="G516" s="8">
        <v>43.1</v>
      </c>
      <c r="H516" s="8">
        <v>0.67</v>
      </c>
      <c r="I516" s="8">
        <v>0.54</v>
      </c>
      <c r="J516" s="8">
        <v>0.02</v>
      </c>
      <c r="K516" s="2" t="str">
        <f t="shared" si="32"/>
        <v>Actual</v>
      </c>
      <c r="L516" s="1">
        <f t="shared" si="33"/>
        <v>34.838709677419402</v>
      </c>
      <c r="M516" s="1">
        <f t="shared" si="34"/>
        <v>1.2903225806451599</v>
      </c>
      <c r="N516" s="1" t="str">
        <f t="shared" si="35"/>
        <v>EDA Software</v>
      </c>
    </row>
    <row r="517" spans="1:14">
      <c r="A517" s="8">
        <v>2015</v>
      </c>
      <c r="B517" s="8" t="s">
        <v>189</v>
      </c>
      <c r="C517" s="8" t="s">
        <v>190</v>
      </c>
      <c r="D517" s="8" t="s">
        <v>121</v>
      </c>
      <c r="E517" s="8" t="s">
        <v>188</v>
      </c>
      <c r="F517" s="8">
        <v>1.76</v>
      </c>
      <c r="G517" s="8">
        <v>40.6</v>
      </c>
      <c r="H517" s="8">
        <v>0.72</v>
      </c>
      <c r="I517" s="8">
        <v>0.62</v>
      </c>
      <c r="J517" s="8">
        <v>0.02</v>
      </c>
      <c r="K517" s="2" t="str">
        <f t="shared" si="32"/>
        <v>Actual</v>
      </c>
      <c r="L517" s="1">
        <f t="shared" si="33"/>
        <v>35.227272727272698</v>
      </c>
      <c r="M517" s="1">
        <f t="shared" si="34"/>
        <v>1.13636363636364</v>
      </c>
      <c r="N517" s="1" t="str">
        <f t="shared" si="35"/>
        <v>EDA Software</v>
      </c>
    </row>
    <row r="518" spans="1:14">
      <c r="A518" s="8">
        <v>2016</v>
      </c>
      <c r="B518" s="8" t="s">
        <v>189</v>
      </c>
      <c r="C518" s="8" t="s">
        <v>190</v>
      </c>
      <c r="D518" s="8" t="s">
        <v>121</v>
      </c>
      <c r="E518" s="8" t="s">
        <v>188</v>
      </c>
      <c r="F518" s="8">
        <v>1.81</v>
      </c>
      <c r="G518" s="8">
        <v>41.5</v>
      </c>
      <c r="H518" s="8">
        <v>0.75</v>
      </c>
      <c r="I518" s="8">
        <v>0.63</v>
      </c>
      <c r="J518" s="8">
        <v>0.02</v>
      </c>
      <c r="K518" s="2" t="str">
        <f t="shared" si="32"/>
        <v>Actual</v>
      </c>
      <c r="L518" s="1">
        <f t="shared" si="33"/>
        <v>34.806629834254103</v>
      </c>
      <c r="M518" s="1">
        <f t="shared" si="34"/>
        <v>1.10497237569061</v>
      </c>
      <c r="N518" s="1" t="str">
        <f t="shared" si="35"/>
        <v>EDA Software</v>
      </c>
    </row>
    <row r="519" spans="1:14">
      <c r="A519" s="8">
        <v>2017</v>
      </c>
      <c r="B519" s="8" t="s">
        <v>189</v>
      </c>
      <c r="C519" s="8" t="s">
        <v>190</v>
      </c>
      <c r="D519" s="8" t="s">
        <v>121</v>
      </c>
      <c r="E519" s="8" t="s">
        <v>188</v>
      </c>
      <c r="F519" s="8">
        <v>1.94</v>
      </c>
      <c r="G519" s="8">
        <v>40</v>
      </c>
      <c r="H519" s="8">
        <v>0.77</v>
      </c>
      <c r="I519" s="8">
        <v>0.68</v>
      </c>
      <c r="J519" s="8">
        <v>0.02</v>
      </c>
      <c r="K519" s="2" t="str">
        <f t="shared" si="32"/>
        <v>Actual</v>
      </c>
      <c r="L519" s="1">
        <f t="shared" si="33"/>
        <v>35.051546391752602</v>
      </c>
      <c r="M519" s="1">
        <f t="shared" si="34"/>
        <v>1.0309278350515501</v>
      </c>
      <c r="N519" s="1" t="str">
        <f t="shared" si="35"/>
        <v>EDA Software</v>
      </c>
    </row>
    <row r="520" spans="1:14">
      <c r="A520" s="8">
        <v>2018</v>
      </c>
      <c r="B520" s="8" t="s">
        <v>189</v>
      </c>
      <c r="C520" s="8" t="s">
        <v>190</v>
      </c>
      <c r="D520" s="8" t="s">
        <v>121</v>
      </c>
      <c r="E520" s="8" t="s">
        <v>188</v>
      </c>
      <c r="F520" s="8">
        <v>2.16</v>
      </c>
      <c r="G520" s="8">
        <v>38.299999999999997</v>
      </c>
      <c r="H520" s="8">
        <v>0.83</v>
      </c>
      <c r="I520" s="8">
        <v>0.76</v>
      </c>
      <c r="J520" s="8">
        <v>0.02</v>
      </c>
      <c r="K520" s="2" t="str">
        <f t="shared" si="32"/>
        <v>Actual</v>
      </c>
      <c r="L520" s="1">
        <f t="shared" si="33"/>
        <v>35.185185185185198</v>
      </c>
      <c r="M520" s="1">
        <f t="shared" si="34"/>
        <v>0.92592592592592604</v>
      </c>
      <c r="N520" s="1" t="str">
        <f t="shared" si="35"/>
        <v>EDA Software</v>
      </c>
    </row>
    <row r="521" spans="1:14">
      <c r="A521" s="8">
        <v>2019</v>
      </c>
      <c r="B521" s="8" t="s">
        <v>189</v>
      </c>
      <c r="C521" s="8" t="s">
        <v>190</v>
      </c>
      <c r="D521" s="8" t="s">
        <v>121</v>
      </c>
      <c r="E521" s="8" t="s">
        <v>188</v>
      </c>
      <c r="F521" s="8">
        <v>2.46</v>
      </c>
      <c r="G521" s="8">
        <v>42</v>
      </c>
      <c r="H521" s="8">
        <v>1.03</v>
      </c>
      <c r="I521" s="8">
        <v>0.86</v>
      </c>
      <c r="J521" s="8">
        <v>0.02</v>
      </c>
      <c r="K521" s="2" t="str">
        <f t="shared" si="32"/>
        <v>Actual</v>
      </c>
      <c r="L521" s="1">
        <f t="shared" si="33"/>
        <v>34.959349593495901</v>
      </c>
      <c r="M521" s="1">
        <f t="shared" si="34"/>
        <v>0.81300813008130102</v>
      </c>
      <c r="N521" s="1" t="str">
        <f t="shared" si="35"/>
        <v>EDA Software</v>
      </c>
    </row>
    <row r="522" spans="1:14">
      <c r="A522" s="8">
        <v>2020</v>
      </c>
      <c r="B522" s="8" t="s">
        <v>189</v>
      </c>
      <c r="C522" s="8" t="s">
        <v>190</v>
      </c>
      <c r="D522" s="8" t="s">
        <v>121</v>
      </c>
      <c r="E522" s="8" t="s">
        <v>188</v>
      </c>
      <c r="F522" s="8">
        <v>2.62</v>
      </c>
      <c r="G522" s="8">
        <v>42.9</v>
      </c>
      <c r="H522" s="8">
        <v>1.1299999999999999</v>
      </c>
      <c r="I522" s="8">
        <v>0.92</v>
      </c>
      <c r="J522" s="8">
        <v>0.03</v>
      </c>
      <c r="K522" s="2" t="str">
        <f t="shared" si="32"/>
        <v>Actual</v>
      </c>
      <c r="L522" s="1">
        <f t="shared" si="33"/>
        <v>35.114503816793899</v>
      </c>
      <c r="M522" s="1">
        <f t="shared" si="34"/>
        <v>1.1450381679389301</v>
      </c>
      <c r="N522" s="1" t="str">
        <f t="shared" si="35"/>
        <v>EDA Software</v>
      </c>
    </row>
    <row r="523" spans="1:14">
      <c r="A523" s="8">
        <v>2021</v>
      </c>
      <c r="B523" s="8" t="s">
        <v>189</v>
      </c>
      <c r="C523" s="8" t="s">
        <v>190</v>
      </c>
      <c r="D523" s="8" t="s">
        <v>121</v>
      </c>
      <c r="E523" s="8" t="s">
        <v>188</v>
      </c>
      <c r="F523" s="8">
        <v>3.22</v>
      </c>
      <c r="G523" s="8">
        <v>40.299999999999997</v>
      </c>
      <c r="H523" s="8">
        <v>1.3</v>
      </c>
      <c r="I523" s="8">
        <v>1.1299999999999999</v>
      </c>
      <c r="J523" s="8">
        <v>0.03</v>
      </c>
      <c r="K523" s="2" t="str">
        <f t="shared" si="32"/>
        <v>Actual</v>
      </c>
      <c r="L523" s="1">
        <f t="shared" si="33"/>
        <v>35.093167701863401</v>
      </c>
      <c r="M523" s="1">
        <f t="shared" si="34"/>
        <v>0.93167701863354002</v>
      </c>
      <c r="N523" s="1" t="str">
        <f t="shared" si="35"/>
        <v>EDA Software</v>
      </c>
    </row>
    <row r="524" spans="1:14">
      <c r="A524" s="8">
        <v>2022</v>
      </c>
      <c r="B524" s="8" t="s">
        <v>189</v>
      </c>
      <c r="C524" s="8" t="s">
        <v>190</v>
      </c>
      <c r="D524" s="8" t="s">
        <v>121</v>
      </c>
      <c r="E524" s="8" t="s">
        <v>188</v>
      </c>
      <c r="F524" s="8">
        <v>3.52</v>
      </c>
      <c r="G524" s="8">
        <v>37.4</v>
      </c>
      <c r="H524" s="8">
        <v>1.32</v>
      </c>
      <c r="I524" s="8">
        <v>1.23</v>
      </c>
      <c r="J524" s="8">
        <v>0.04</v>
      </c>
      <c r="K524" s="2" t="str">
        <f t="shared" si="32"/>
        <v>Actual</v>
      </c>
      <c r="L524" s="1">
        <f t="shared" si="33"/>
        <v>34.943181818181799</v>
      </c>
      <c r="M524" s="1">
        <f t="shared" si="34"/>
        <v>1.13636363636364</v>
      </c>
      <c r="N524" s="1" t="str">
        <f t="shared" si="35"/>
        <v>EDA Software</v>
      </c>
    </row>
    <row r="525" spans="1:14">
      <c r="A525" s="8">
        <v>2023</v>
      </c>
      <c r="B525" s="8" t="s">
        <v>189</v>
      </c>
      <c r="C525" s="8" t="s">
        <v>190</v>
      </c>
      <c r="D525" s="8" t="s">
        <v>121</v>
      </c>
      <c r="E525" s="8" t="s">
        <v>188</v>
      </c>
      <c r="F525" s="8">
        <v>4.03</v>
      </c>
      <c r="G525" s="8">
        <v>41.6</v>
      </c>
      <c r="H525" s="8">
        <v>1.68</v>
      </c>
      <c r="I525" s="8">
        <v>1.41</v>
      </c>
      <c r="J525" s="8">
        <v>0.04</v>
      </c>
      <c r="K525" s="2" t="str">
        <f t="shared" si="32"/>
        <v>Actual</v>
      </c>
      <c r="L525" s="1">
        <f t="shared" si="33"/>
        <v>34.987593052109197</v>
      </c>
      <c r="M525" s="1">
        <f t="shared" si="34"/>
        <v>0.99255583126550895</v>
      </c>
      <c r="N525" s="1" t="str">
        <f t="shared" si="35"/>
        <v>EDA Software</v>
      </c>
    </row>
    <row r="526" spans="1:14">
      <c r="A526" s="8">
        <v>2024</v>
      </c>
      <c r="B526" s="8" t="s">
        <v>189</v>
      </c>
      <c r="C526" s="8" t="s">
        <v>190</v>
      </c>
      <c r="D526" s="8" t="s">
        <v>121</v>
      </c>
      <c r="E526" s="8" t="s">
        <v>188</v>
      </c>
      <c r="F526" s="8">
        <v>4.47</v>
      </c>
      <c r="G526" s="8">
        <v>41.3</v>
      </c>
      <c r="H526" s="8">
        <v>1.85</v>
      </c>
      <c r="I526" s="8">
        <v>1.56</v>
      </c>
      <c r="J526" s="8">
        <v>0.04</v>
      </c>
      <c r="K526" s="2" t="str">
        <f t="shared" si="32"/>
        <v>Actual</v>
      </c>
      <c r="L526" s="1">
        <f t="shared" si="33"/>
        <v>34.899328859060397</v>
      </c>
      <c r="M526" s="1">
        <f t="shared" si="34"/>
        <v>0.89485458612975399</v>
      </c>
      <c r="N526" s="1" t="str">
        <f t="shared" si="35"/>
        <v>EDA Software</v>
      </c>
    </row>
    <row r="527" spans="1:14">
      <c r="A527" s="8">
        <v>2025</v>
      </c>
      <c r="B527" s="8" t="s">
        <v>189</v>
      </c>
      <c r="C527" s="8" t="s">
        <v>190</v>
      </c>
      <c r="D527" s="8" t="s">
        <v>121</v>
      </c>
      <c r="E527" s="8" t="s">
        <v>188</v>
      </c>
      <c r="F527" s="8">
        <v>4.96</v>
      </c>
      <c r="G527" s="8">
        <v>39.4</v>
      </c>
      <c r="H527" s="8">
        <v>1.95</v>
      </c>
      <c r="I527" s="8">
        <v>1.74</v>
      </c>
      <c r="J527" s="8">
        <v>0.05</v>
      </c>
      <c r="K527" s="2" t="str">
        <f t="shared" si="32"/>
        <v>Forecast</v>
      </c>
      <c r="L527" s="1">
        <f t="shared" si="33"/>
        <v>35.080645161290299</v>
      </c>
      <c r="M527" s="1">
        <f t="shared" si="34"/>
        <v>1.00806451612903</v>
      </c>
      <c r="N527" s="1" t="str">
        <f t="shared" si="35"/>
        <v>EDA Software</v>
      </c>
    </row>
    <row r="528" spans="1:14">
      <c r="A528" s="8">
        <v>2026</v>
      </c>
      <c r="B528" s="8" t="s">
        <v>189</v>
      </c>
      <c r="C528" s="8" t="s">
        <v>190</v>
      </c>
      <c r="D528" s="8" t="s">
        <v>121</v>
      </c>
      <c r="E528" s="8" t="s">
        <v>188</v>
      </c>
      <c r="F528" s="8">
        <v>5.72</v>
      </c>
      <c r="G528" s="8">
        <v>47.3</v>
      </c>
      <c r="H528" s="8">
        <v>2.71</v>
      </c>
      <c r="I528" s="8">
        <v>2</v>
      </c>
      <c r="J528" s="8">
        <v>0.06</v>
      </c>
      <c r="K528" s="2" t="str">
        <f t="shared" si="32"/>
        <v>Forecast</v>
      </c>
      <c r="L528" s="1">
        <f t="shared" si="33"/>
        <v>34.965034965035002</v>
      </c>
      <c r="M528" s="1">
        <f t="shared" si="34"/>
        <v>1.0489510489510501</v>
      </c>
      <c r="N528" s="1" t="str">
        <f t="shared" si="35"/>
        <v>EDA Software</v>
      </c>
    </row>
    <row r="529" spans="1:14">
      <c r="A529" s="8">
        <v>2010</v>
      </c>
      <c r="B529" s="8" t="s">
        <v>191</v>
      </c>
      <c r="C529" s="8" t="s">
        <v>192</v>
      </c>
      <c r="D529" s="8" t="s">
        <v>125</v>
      </c>
      <c r="E529" s="8" t="s">
        <v>134</v>
      </c>
      <c r="F529" s="8">
        <v>0.96</v>
      </c>
      <c r="G529" s="8">
        <v>34.4</v>
      </c>
      <c r="H529" s="8">
        <v>0.33</v>
      </c>
      <c r="I529" s="8">
        <v>0.12</v>
      </c>
      <c r="J529" s="8">
        <v>0.1</v>
      </c>
      <c r="K529" s="2" t="str">
        <f t="shared" si="32"/>
        <v>Actual</v>
      </c>
      <c r="L529" s="1">
        <f t="shared" si="33"/>
        <v>12.5</v>
      </c>
      <c r="M529" s="1">
        <f t="shared" si="34"/>
        <v>10.4166666666667</v>
      </c>
      <c r="N529" s="1" t="str">
        <f t="shared" si="35"/>
        <v>Fabless</v>
      </c>
    </row>
    <row r="530" spans="1:14">
      <c r="A530" s="8">
        <v>2011</v>
      </c>
      <c r="B530" s="8" t="s">
        <v>191</v>
      </c>
      <c r="C530" s="8" t="s">
        <v>192</v>
      </c>
      <c r="D530" s="8" t="s">
        <v>125</v>
      </c>
      <c r="E530" s="8" t="s">
        <v>134</v>
      </c>
      <c r="F530" s="8">
        <v>1.61</v>
      </c>
      <c r="G530" s="8">
        <v>31.2</v>
      </c>
      <c r="H530" s="8">
        <v>0.5</v>
      </c>
      <c r="I530" s="8">
        <v>0.19</v>
      </c>
      <c r="J530" s="8">
        <v>0.16</v>
      </c>
      <c r="K530" s="2" t="str">
        <f t="shared" si="32"/>
        <v>Actual</v>
      </c>
      <c r="L530" s="1">
        <f t="shared" si="33"/>
        <v>11.8012422360248</v>
      </c>
      <c r="M530" s="1">
        <f t="shared" si="34"/>
        <v>9.9378881987577596</v>
      </c>
      <c r="N530" s="1" t="str">
        <f t="shared" si="35"/>
        <v>Fabless</v>
      </c>
    </row>
    <row r="531" spans="1:14">
      <c r="A531" s="8">
        <v>2012</v>
      </c>
      <c r="B531" s="8" t="s">
        <v>191</v>
      </c>
      <c r="C531" s="8" t="s">
        <v>192</v>
      </c>
      <c r="D531" s="8" t="s">
        <v>125</v>
      </c>
      <c r="E531" s="8" t="s">
        <v>134</v>
      </c>
      <c r="F531" s="8">
        <v>2.21</v>
      </c>
      <c r="G531" s="8">
        <v>31.3</v>
      </c>
      <c r="H531" s="8">
        <v>0.69</v>
      </c>
      <c r="I531" s="8">
        <v>0.26</v>
      </c>
      <c r="J531" s="8">
        <v>0.22</v>
      </c>
      <c r="K531" s="2" t="str">
        <f t="shared" si="32"/>
        <v>Actual</v>
      </c>
      <c r="L531" s="1">
        <f t="shared" si="33"/>
        <v>11.764705882352899</v>
      </c>
      <c r="M531" s="1">
        <f t="shared" si="34"/>
        <v>9.9547511312217196</v>
      </c>
      <c r="N531" s="1" t="str">
        <f t="shared" si="35"/>
        <v>Fabless</v>
      </c>
    </row>
    <row r="532" spans="1:14">
      <c r="A532" s="8">
        <v>2013</v>
      </c>
      <c r="B532" s="8" t="s">
        <v>191</v>
      </c>
      <c r="C532" s="8" t="s">
        <v>192</v>
      </c>
      <c r="D532" s="8" t="s">
        <v>125</v>
      </c>
      <c r="E532" s="8" t="s">
        <v>134</v>
      </c>
      <c r="F532" s="8">
        <v>2.79</v>
      </c>
      <c r="G532" s="8">
        <v>34.4</v>
      </c>
      <c r="H532" s="8">
        <v>0.96</v>
      </c>
      <c r="I532" s="8">
        <v>0.33</v>
      </c>
      <c r="J532" s="8">
        <v>0.28000000000000003</v>
      </c>
      <c r="K532" s="2" t="str">
        <f t="shared" si="32"/>
        <v>Actual</v>
      </c>
      <c r="L532" s="1">
        <f t="shared" si="33"/>
        <v>11.8279569892473</v>
      </c>
      <c r="M532" s="1">
        <f t="shared" si="34"/>
        <v>10.0358422939068</v>
      </c>
      <c r="N532" s="1" t="str">
        <f t="shared" si="35"/>
        <v>Fabless</v>
      </c>
    </row>
    <row r="533" spans="1:14">
      <c r="A533" s="8">
        <v>2014</v>
      </c>
      <c r="B533" s="8" t="s">
        <v>191</v>
      </c>
      <c r="C533" s="8" t="s">
        <v>192</v>
      </c>
      <c r="D533" s="8" t="s">
        <v>125</v>
      </c>
      <c r="E533" s="8" t="s">
        <v>134</v>
      </c>
      <c r="F533" s="8">
        <v>3.35</v>
      </c>
      <c r="G533" s="8">
        <v>33.4</v>
      </c>
      <c r="H533" s="8">
        <v>1.1200000000000001</v>
      </c>
      <c r="I533" s="8">
        <v>0.4</v>
      </c>
      <c r="J533" s="8">
        <v>0.34</v>
      </c>
      <c r="K533" s="2" t="str">
        <f t="shared" si="32"/>
        <v>Actual</v>
      </c>
      <c r="L533" s="1">
        <f t="shared" si="33"/>
        <v>11.9402985074627</v>
      </c>
      <c r="M533" s="1">
        <f t="shared" si="34"/>
        <v>10.1492537313433</v>
      </c>
      <c r="N533" s="1" t="str">
        <f t="shared" si="35"/>
        <v>Fabless</v>
      </c>
    </row>
    <row r="534" spans="1:14">
      <c r="A534" s="8">
        <v>2015</v>
      </c>
      <c r="B534" s="8" t="s">
        <v>191</v>
      </c>
      <c r="C534" s="8" t="s">
        <v>192</v>
      </c>
      <c r="D534" s="8" t="s">
        <v>125</v>
      </c>
      <c r="E534" s="8" t="s">
        <v>134</v>
      </c>
      <c r="F534" s="8">
        <v>3.92</v>
      </c>
      <c r="G534" s="8">
        <v>29.8</v>
      </c>
      <c r="H534" s="8">
        <v>1.17</v>
      </c>
      <c r="I534" s="8">
        <v>0.47</v>
      </c>
      <c r="J534" s="8">
        <v>0.39</v>
      </c>
      <c r="K534" s="2" t="str">
        <f t="shared" si="32"/>
        <v>Actual</v>
      </c>
      <c r="L534" s="1">
        <f t="shared" si="33"/>
        <v>11.9897959183673</v>
      </c>
      <c r="M534" s="1">
        <f t="shared" si="34"/>
        <v>9.9489795918367303</v>
      </c>
      <c r="N534" s="1" t="str">
        <f t="shared" si="35"/>
        <v>Fabless</v>
      </c>
    </row>
    <row r="535" spans="1:14">
      <c r="A535" s="8">
        <v>2016</v>
      </c>
      <c r="B535" s="8" t="s">
        <v>191</v>
      </c>
      <c r="C535" s="8" t="s">
        <v>192</v>
      </c>
      <c r="D535" s="8" t="s">
        <v>125</v>
      </c>
      <c r="E535" s="8" t="s">
        <v>134</v>
      </c>
      <c r="F535" s="8">
        <v>5</v>
      </c>
      <c r="G535" s="8">
        <v>31.4</v>
      </c>
      <c r="H535" s="8">
        <v>1.57</v>
      </c>
      <c r="I535" s="8">
        <v>0.6</v>
      </c>
      <c r="J535" s="8">
        <v>0.5</v>
      </c>
      <c r="K535" s="2" t="str">
        <f t="shared" si="32"/>
        <v>Actual</v>
      </c>
      <c r="L535" s="1">
        <f t="shared" si="33"/>
        <v>12</v>
      </c>
      <c r="M535" s="1">
        <f t="shared" si="34"/>
        <v>10</v>
      </c>
      <c r="N535" s="1" t="str">
        <f t="shared" si="35"/>
        <v>Fabless</v>
      </c>
    </row>
    <row r="536" spans="1:14">
      <c r="A536" s="8">
        <v>2017</v>
      </c>
      <c r="B536" s="8" t="s">
        <v>191</v>
      </c>
      <c r="C536" s="8" t="s">
        <v>192</v>
      </c>
      <c r="D536" s="8" t="s">
        <v>125</v>
      </c>
      <c r="E536" s="8" t="s">
        <v>134</v>
      </c>
      <c r="F536" s="8">
        <v>6.61</v>
      </c>
      <c r="G536" s="8">
        <v>29.8</v>
      </c>
      <c r="H536" s="8">
        <v>1.97</v>
      </c>
      <c r="I536" s="8">
        <v>0.79</v>
      </c>
      <c r="J536" s="8">
        <v>0.66</v>
      </c>
      <c r="K536" s="2" t="str">
        <f t="shared" si="32"/>
        <v>Actual</v>
      </c>
      <c r="L536" s="1">
        <f t="shared" si="33"/>
        <v>11.951588502269299</v>
      </c>
      <c r="M536" s="1">
        <f t="shared" si="34"/>
        <v>9.9848714069591509</v>
      </c>
      <c r="N536" s="1" t="str">
        <f t="shared" si="35"/>
        <v>Fabless</v>
      </c>
    </row>
    <row r="537" spans="1:14">
      <c r="A537" s="8">
        <v>2018</v>
      </c>
      <c r="B537" s="8" t="s">
        <v>191</v>
      </c>
      <c r="C537" s="8" t="s">
        <v>192</v>
      </c>
      <c r="D537" s="8" t="s">
        <v>125</v>
      </c>
      <c r="E537" s="8" t="s">
        <v>134</v>
      </c>
      <c r="F537" s="8">
        <v>7.46</v>
      </c>
      <c r="G537" s="8">
        <v>26.7</v>
      </c>
      <c r="H537" s="8">
        <v>1.99</v>
      </c>
      <c r="I537" s="8">
        <v>0.89</v>
      </c>
      <c r="J537" s="8">
        <v>0.75</v>
      </c>
      <c r="K537" s="2" t="str">
        <f t="shared" si="32"/>
        <v>Actual</v>
      </c>
      <c r="L537" s="1">
        <f t="shared" si="33"/>
        <v>11.9302949061662</v>
      </c>
      <c r="M537" s="1">
        <f t="shared" si="34"/>
        <v>10.0536193029491</v>
      </c>
      <c r="N537" s="1" t="str">
        <f t="shared" si="35"/>
        <v>Fabless</v>
      </c>
    </row>
    <row r="538" spans="1:14">
      <c r="A538" s="8">
        <v>2019</v>
      </c>
      <c r="B538" s="8" t="s">
        <v>191</v>
      </c>
      <c r="C538" s="8" t="s">
        <v>192</v>
      </c>
      <c r="D538" s="8" t="s">
        <v>125</v>
      </c>
      <c r="E538" s="8" t="s">
        <v>134</v>
      </c>
      <c r="F538" s="8">
        <v>9.19</v>
      </c>
      <c r="G538" s="8">
        <v>25.2</v>
      </c>
      <c r="H538" s="8">
        <v>2.3199999999999998</v>
      </c>
      <c r="I538" s="8">
        <v>1.1000000000000001</v>
      </c>
      <c r="J538" s="8">
        <v>0.92</v>
      </c>
      <c r="K538" s="2" t="str">
        <f t="shared" si="32"/>
        <v>Actual</v>
      </c>
      <c r="L538" s="1">
        <f t="shared" si="33"/>
        <v>11.9695321001088</v>
      </c>
      <c r="M538" s="1">
        <f t="shared" si="34"/>
        <v>10.0108813928183</v>
      </c>
      <c r="N538" s="1" t="str">
        <f t="shared" si="35"/>
        <v>Fabless</v>
      </c>
    </row>
    <row r="539" spans="1:14">
      <c r="A539" s="8">
        <v>2020</v>
      </c>
      <c r="B539" s="8" t="s">
        <v>191</v>
      </c>
      <c r="C539" s="8" t="s">
        <v>192</v>
      </c>
      <c r="D539" s="8" t="s">
        <v>125</v>
      </c>
      <c r="E539" s="8" t="s">
        <v>134</v>
      </c>
      <c r="F539" s="8">
        <v>10.7</v>
      </c>
      <c r="G539" s="8">
        <v>30.7</v>
      </c>
      <c r="H539" s="8">
        <v>3.28</v>
      </c>
      <c r="I539" s="8">
        <v>1.28</v>
      </c>
      <c r="J539" s="8">
        <v>1.07</v>
      </c>
      <c r="K539" s="2" t="str">
        <f t="shared" si="32"/>
        <v>Actual</v>
      </c>
      <c r="L539" s="1">
        <f t="shared" si="33"/>
        <v>11.962616822429901</v>
      </c>
      <c r="M539" s="1">
        <f t="shared" si="34"/>
        <v>10</v>
      </c>
      <c r="N539" s="1" t="str">
        <f t="shared" si="35"/>
        <v>Fabless</v>
      </c>
    </row>
    <row r="540" spans="1:14">
      <c r="A540" s="8">
        <v>2021</v>
      </c>
      <c r="B540" s="8" t="s">
        <v>191</v>
      </c>
      <c r="C540" s="8" t="s">
        <v>192</v>
      </c>
      <c r="D540" s="8" t="s">
        <v>125</v>
      </c>
      <c r="E540" s="8" t="s">
        <v>134</v>
      </c>
      <c r="F540" s="8">
        <v>6.76</v>
      </c>
      <c r="G540" s="8">
        <v>38.4</v>
      </c>
      <c r="H540" s="8">
        <v>2.6</v>
      </c>
      <c r="I540" s="8">
        <v>0.81</v>
      </c>
      <c r="J540" s="8">
        <v>0.68</v>
      </c>
      <c r="K540" s="2" t="str">
        <f t="shared" si="32"/>
        <v>Actual</v>
      </c>
      <c r="L540" s="1">
        <f t="shared" si="33"/>
        <v>11.982248520710099</v>
      </c>
      <c r="M540" s="1">
        <f t="shared" si="34"/>
        <v>10.0591715976331</v>
      </c>
      <c r="N540" s="1" t="str">
        <f t="shared" si="35"/>
        <v>Fabless</v>
      </c>
    </row>
    <row r="541" spans="1:14">
      <c r="A541" s="8">
        <v>2022</v>
      </c>
      <c r="B541" s="8" t="s">
        <v>191</v>
      </c>
      <c r="C541" s="8" t="s">
        <v>192</v>
      </c>
      <c r="D541" s="8" t="s">
        <v>125</v>
      </c>
      <c r="E541" s="8" t="s">
        <v>134</v>
      </c>
      <c r="F541" s="8">
        <v>1.97</v>
      </c>
      <c r="G541" s="8">
        <v>34.299999999999997</v>
      </c>
      <c r="H541" s="8">
        <v>0.67</v>
      </c>
      <c r="I541" s="8">
        <v>0.24</v>
      </c>
      <c r="J541" s="8">
        <v>0.2</v>
      </c>
      <c r="K541" s="2" t="str">
        <f t="shared" si="32"/>
        <v>Actual</v>
      </c>
      <c r="L541" s="1">
        <f t="shared" si="33"/>
        <v>12.1827411167513</v>
      </c>
      <c r="M541" s="1">
        <f t="shared" si="34"/>
        <v>10.1522842639594</v>
      </c>
      <c r="N541" s="1" t="str">
        <f t="shared" si="35"/>
        <v>Fabless</v>
      </c>
    </row>
    <row r="542" spans="1:14">
      <c r="A542" s="8">
        <v>2023</v>
      </c>
      <c r="B542" s="8" t="s">
        <v>191</v>
      </c>
      <c r="C542" s="8" t="s">
        <v>192</v>
      </c>
      <c r="D542" s="8" t="s">
        <v>125</v>
      </c>
      <c r="E542" s="8" t="s">
        <v>134</v>
      </c>
      <c r="F542" s="8">
        <v>4.03</v>
      </c>
      <c r="G542" s="8">
        <v>29.5</v>
      </c>
      <c r="H542" s="8">
        <v>1.19</v>
      </c>
      <c r="I542" s="8">
        <v>0.48</v>
      </c>
      <c r="J542" s="8">
        <v>0.4</v>
      </c>
      <c r="K542" s="2" t="str">
        <f t="shared" si="32"/>
        <v>Actual</v>
      </c>
      <c r="L542" s="1">
        <f t="shared" si="33"/>
        <v>11.910669975186099</v>
      </c>
      <c r="M542" s="1">
        <f t="shared" si="34"/>
        <v>9.9255583126550899</v>
      </c>
      <c r="N542" s="1" t="str">
        <f t="shared" si="35"/>
        <v>Fabless</v>
      </c>
    </row>
    <row r="543" spans="1:14">
      <c r="A543" s="8">
        <v>2024</v>
      </c>
      <c r="B543" s="8" t="s">
        <v>191</v>
      </c>
      <c r="C543" s="8" t="s">
        <v>192</v>
      </c>
      <c r="D543" s="8" t="s">
        <v>125</v>
      </c>
      <c r="E543" s="8" t="s">
        <v>134</v>
      </c>
      <c r="F543" s="8">
        <v>9.1199999999999992</v>
      </c>
      <c r="G543" s="8">
        <v>30.2</v>
      </c>
      <c r="H543" s="8">
        <v>2.75</v>
      </c>
      <c r="I543" s="8">
        <v>1.0900000000000001</v>
      </c>
      <c r="J543" s="8">
        <v>0.91</v>
      </c>
      <c r="K543" s="2" t="str">
        <f t="shared" si="32"/>
        <v>Actual</v>
      </c>
      <c r="L543" s="1">
        <f t="shared" si="33"/>
        <v>11.9517543859649</v>
      </c>
      <c r="M543" s="1">
        <f t="shared" si="34"/>
        <v>9.9780701754385994</v>
      </c>
      <c r="N543" s="1" t="str">
        <f t="shared" si="35"/>
        <v>Fabless</v>
      </c>
    </row>
    <row r="544" spans="1:14">
      <c r="A544" s="8">
        <v>2025</v>
      </c>
      <c r="B544" s="8" t="s">
        <v>191</v>
      </c>
      <c r="C544" s="8" t="s">
        <v>192</v>
      </c>
      <c r="D544" s="8" t="s">
        <v>125</v>
      </c>
      <c r="E544" s="8" t="s">
        <v>134</v>
      </c>
      <c r="F544" s="8">
        <v>10.53</v>
      </c>
      <c r="G544" s="8">
        <v>28.8</v>
      </c>
      <c r="H544" s="8">
        <v>3.03</v>
      </c>
      <c r="I544" s="8">
        <v>1.26</v>
      </c>
      <c r="J544" s="8">
        <v>1.05</v>
      </c>
      <c r="K544" s="2" t="str">
        <f t="shared" si="32"/>
        <v>Forecast</v>
      </c>
      <c r="L544" s="1">
        <f t="shared" si="33"/>
        <v>11.965811965812</v>
      </c>
      <c r="M544" s="1">
        <f t="shared" si="34"/>
        <v>9.9715099715099704</v>
      </c>
      <c r="N544" s="1" t="str">
        <f t="shared" si="35"/>
        <v>Fabless</v>
      </c>
    </row>
    <row r="545" spans="1:14">
      <c r="A545" s="8">
        <v>2026</v>
      </c>
      <c r="B545" s="8" t="s">
        <v>191</v>
      </c>
      <c r="C545" s="8" t="s">
        <v>192</v>
      </c>
      <c r="D545" s="8" t="s">
        <v>125</v>
      </c>
      <c r="E545" s="8" t="s">
        <v>134</v>
      </c>
      <c r="F545" s="8">
        <v>11.51</v>
      </c>
      <c r="G545" s="8">
        <v>25.4</v>
      </c>
      <c r="H545" s="8">
        <v>2.92</v>
      </c>
      <c r="I545" s="8">
        <v>1.38</v>
      </c>
      <c r="J545" s="8">
        <v>1.1499999999999999</v>
      </c>
      <c r="K545" s="2" t="str">
        <f t="shared" si="32"/>
        <v>Forecast</v>
      </c>
      <c r="L545" s="1">
        <f t="shared" si="33"/>
        <v>11.989574283232001</v>
      </c>
      <c r="M545" s="1">
        <f t="shared" si="34"/>
        <v>9.9913119026933099</v>
      </c>
      <c r="N545" s="1" t="str">
        <f t="shared" si="35"/>
        <v>Fabless</v>
      </c>
    </row>
    <row r="546" spans="1:14">
      <c r="A546" s="8">
        <v>2017</v>
      </c>
      <c r="B546" s="8" t="s">
        <v>193</v>
      </c>
      <c r="C546" s="8" t="s">
        <v>194</v>
      </c>
      <c r="D546" s="8" t="s">
        <v>125</v>
      </c>
      <c r="E546" s="8" t="s">
        <v>143</v>
      </c>
      <c r="F546" s="8">
        <v>0.1</v>
      </c>
      <c r="G546" s="8">
        <v>24.2</v>
      </c>
      <c r="H546" s="8">
        <v>0.02</v>
      </c>
      <c r="I546" s="8">
        <v>0.01</v>
      </c>
      <c r="J546" s="8">
        <v>0.04</v>
      </c>
      <c r="K546" s="2" t="str">
        <f t="shared" si="32"/>
        <v>Actual</v>
      </c>
      <c r="L546" s="1">
        <f t="shared" si="33"/>
        <v>10</v>
      </c>
      <c r="M546" s="1">
        <f t="shared" si="34"/>
        <v>40</v>
      </c>
      <c r="N546" s="1" t="str">
        <f t="shared" si="35"/>
        <v>Manufacturer</v>
      </c>
    </row>
    <row r="547" spans="1:14">
      <c r="A547" s="8">
        <v>2018</v>
      </c>
      <c r="B547" s="8" t="s">
        <v>193</v>
      </c>
      <c r="C547" s="8" t="s">
        <v>194</v>
      </c>
      <c r="D547" s="8" t="s">
        <v>125</v>
      </c>
      <c r="E547" s="8" t="s">
        <v>143</v>
      </c>
      <c r="F547" s="8">
        <v>0.28999999999999998</v>
      </c>
      <c r="G547" s="8">
        <v>30.9</v>
      </c>
      <c r="H547" s="8">
        <v>0.09</v>
      </c>
      <c r="I547" s="8">
        <v>0.03</v>
      </c>
      <c r="J547" s="8">
        <v>0.1</v>
      </c>
      <c r="K547" s="2" t="str">
        <f t="shared" si="32"/>
        <v>Actual</v>
      </c>
      <c r="L547" s="1">
        <f t="shared" si="33"/>
        <v>10.3448275862069</v>
      </c>
      <c r="M547" s="1">
        <f t="shared" si="34"/>
        <v>34.482758620689701</v>
      </c>
      <c r="N547" s="1" t="str">
        <f t="shared" si="35"/>
        <v>Manufacturer</v>
      </c>
    </row>
    <row r="548" spans="1:14">
      <c r="A548" s="8">
        <v>2019</v>
      </c>
      <c r="B548" s="8" t="s">
        <v>193</v>
      </c>
      <c r="C548" s="8" t="s">
        <v>194</v>
      </c>
      <c r="D548" s="8" t="s">
        <v>125</v>
      </c>
      <c r="E548" s="8" t="s">
        <v>143</v>
      </c>
      <c r="F548" s="8">
        <v>0.51</v>
      </c>
      <c r="G548" s="8">
        <v>36.299999999999997</v>
      </c>
      <c r="H548" s="8">
        <v>0.19</v>
      </c>
      <c r="I548" s="8">
        <v>0.05</v>
      </c>
      <c r="J548" s="8">
        <v>0.18</v>
      </c>
      <c r="K548" s="2" t="str">
        <f t="shared" si="32"/>
        <v>Actual</v>
      </c>
      <c r="L548" s="1">
        <f t="shared" si="33"/>
        <v>9.8039215686274499</v>
      </c>
      <c r="M548" s="1">
        <f t="shared" si="34"/>
        <v>35.294117647058798</v>
      </c>
      <c r="N548" s="1" t="str">
        <f t="shared" si="35"/>
        <v>Manufacturer</v>
      </c>
    </row>
    <row r="549" spans="1:14">
      <c r="A549" s="8">
        <v>2020</v>
      </c>
      <c r="B549" s="8" t="s">
        <v>193</v>
      </c>
      <c r="C549" s="8" t="s">
        <v>194</v>
      </c>
      <c r="D549" s="8" t="s">
        <v>125</v>
      </c>
      <c r="E549" s="8" t="s">
        <v>143</v>
      </c>
      <c r="F549" s="8">
        <v>1.23</v>
      </c>
      <c r="G549" s="8">
        <v>42.7</v>
      </c>
      <c r="H549" s="8">
        <v>0.52</v>
      </c>
      <c r="I549" s="8">
        <v>0.12</v>
      </c>
      <c r="J549" s="8">
        <v>0.43</v>
      </c>
      <c r="K549" s="2" t="str">
        <f t="shared" si="32"/>
        <v>Actual</v>
      </c>
      <c r="L549" s="1">
        <f t="shared" si="33"/>
        <v>9.7560975609756095</v>
      </c>
      <c r="M549" s="1">
        <f t="shared" si="34"/>
        <v>34.959349593495901</v>
      </c>
      <c r="N549" s="1" t="str">
        <f t="shared" si="35"/>
        <v>Manufacturer</v>
      </c>
    </row>
    <row r="550" spans="1:14">
      <c r="A550" s="8">
        <v>2021</v>
      </c>
      <c r="B550" s="8" t="s">
        <v>193</v>
      </c>
      <c r="C550" s="8" t="s">
        <v>194</v>
      </c>
      <c r="D550" s="8" t="s">
        <v>125</v>
      </c>
      <c r="E550" s="8" t="s">
        <v>143</v>
      </c>
      <c r="F550" s="8">
        <v>2.1</v>
      </c>
      <c r="G550" s="8">
        <v>41.5</v>
      </c>
      <c r="H550" s="8">
        <v>0.87</v>
      </c>
      <c r="I550" s="8">
        <v>0.21</v>
      </c>
      <c r="J550" s="8">
        <v>0.73</v>
      </c>
      <c r="K550" s="2" t="str">
        <f t="shared" si="32"/>
        <v>Actual</v>
      </c>
      <c r="L550" s="1">
        <f t="shared" si="33"/>
        <v>10</v>
      </c>
      <c r="M550" s="1">
        <f t="shared" si="34"/>
        <v>34.761904761904802</v>
      </c>
      <c r="N550" s="1" t="str">
        <f t="shared" si="35"/>
        <v>Manufacturer</v>
      </c>
    </row>
    <row r="551" spans="1:14">
      <c r="A551" s="8">
        <v>2022</v>
      </c>
      <c r="B551" s="8" t="s">
        <v>193</v>
      </c>
      <c r="C551" s="8" t="s">
        <v>194</v>
      </c>
      <c r="D551" s="8" t="s">
        <v>125</v>
      </c>
      <c r="E551" s="8" t="s">
        <v>143</v>
      </c>
      <c r="F551" s="8">
        <v>4.12</v>
      </c>
      <c r="G551" s="8">
        <v>42.4</v>
      </c>
      <c r="H551" s="8">
        <v>1.74</v>
      </c>
      <c r="I551" s="8">
        <v>0.41</v>
      </c>
      <c r="J551" s="8">
        <v>1.44</v>
      </c>
      <c r="K551" s="2" t="str">
        <f t="shared" si="32"/>
        <v>Actual</v>
      </c>
      <c r="L551" s="1">
        <f t="shared" si="33"/>
        <v>9.9514563106796103</v>
      </c>
      <c r="M551" s="1">
        <f t="shared" si="34"/>
        <v>34.951456310679603</v>
      </c>
      <c r="N551" s="1" t="str">
        <f t="shared" si="35"/>
        <v>Manufacturer</v>
      </c>
    </row>
    <row r="552" spans="1:14">
      <c r="A552" s="8">
        <v>2023</v>
      </c>
      <c r="B552" s="8" t="s">
        <v>193</v>
      </c>
      <c r="C552" s="8" t="s">
        <v>194</v>
      </c>
      <c r="D552" s="8" t="s">
        <v>125</v>
      </c>
      <c r="E552" s="8" t="s">
        <v>143</v>
      </c>
      <c r="F552" s="8">
        <v>5.17</v>
      </c>
      <c r="G552" s="8">
        <v>27</v>
      </c>
      <c r="H552" s="8">
        <v>1.4</v>
      </c>
      <c r="I552" s="8">
        <v>0.52</v>
      </c>
      <c r="J552" s="8">
        <v>1.81</v>
      </c>
      <c r="K552" s="2" t="str">
        <f t="shared" si="32"/>
        <v>Actual</v>
      </c>
      <c r="L552" s="1">
        <f t="shared" si="33"/>
        <v>10.058027079303701</v>
      </c>
      <c r="M552" s="1">
        <f t="shared" si="34"/>
        <v>35.009671179884002</v>
      </c>
      <c r="N552" s="1" t="str">
        <f t="shared" si="35"/>
        <v>Manufacturer</v>
      </c>
    </row>
    <row r="553" spans="1:14">
      <c r="A553" s="8">
        <v>2024</v>
      </c>
      <c r="B553" s="8" t="s">
        <v>193</v>
      </c>
      <c r="C553" s="8" t="s">
        <v>194</v>
      </c>
      <c r="D553" s="8" t="s">
        <v>125</v>
      </c>
      <c r="E553" s="8" t="s">
        <v>143</v>
      </c>
      <c r="F553" s="8">
        <v>6.62</v>
      </c>
      <c r="G553" s="8">
        <v>31.6</v>
      </c>
      <c r="H553" s="8">
        <v>2.09</v>
      </c>
      <c r="I553" s="8">
        <v>0.66</v>
      </c>
      <c r="J553" s="8">
        <v>2.3199999999999998</v>
      </c>
      <c r="K553" s="2" t="str">
        <f t="shared" si="32"/>
        <v>Actual</v>
      </c>
      <c r="L553" s="1">
        <f t="shared" si="33"/>
        <v>9.9697885196374596</v>
      </c>
      <c r="M553" s="1">
        <f t="shared" si="34"/>
        <v>35.045317220543801</v>
      </c>
      <c r="N553" s="1" t="str">
        <f t="shared" si="35"/>
        <v>Manufacturer</v>
      </c>
    </row>
    <row r="554" spans="1:14">
      <c r="A554" s="8">
        <v>2025</v>
      </c>
      <c r="B554" s="8" t="s">
        <v>193</v>
      </c>
      <c r="C554" s="8" t="s">
        <v>194</v>
      </c>
      <c r="D554" s="8" t="s">
        <v>125</v>
      </c>
      <c r="E554" s="8" t="s">
        <v>143</v>
      </c>
      <c r="F554" s="8">
        <v>7.5</v>
      </c>
      <c r="G554" s="8">
        <v>26.2</v>
      </c>
      <c r="H554" s="8">
        <v>1.97</v>
      </c>
      <c r="I554" s="8">
        <v>0.75</v>
      </c>
      <c r="J554" s="8">
        <v>2.62</v>
      </c>
      <c r="K554" s="2" t="str">
        <f t="shared" si="32"/>
        <v>Forecast</v>
      </c>
      <c r="L554" s="1">
        <f t="shared" si="33"/>
        <v>10</v>
      </c>
      <c r="M554" s="1">
        <f t="shared" si="34"/>
        <v>34.933333333333302</v>
      </c>
      <c r="N554" s="1" t="str">
        <f t="shared" si="35"/>
        <v>Manufacturer</v>
      </c>
    </row>
    <row r="555" spans="1:14">
      <c r="A555" s="8">
        <v>2026</v>
      </c>
      <c r="B555" s="8" t="s">
        <v>193</v>
      </c>
      <c r="C555" s="8" t="s">
        <v>194</v>
      </c>
      <c r="D555" s="8" t="s">
        <v>125</v>
      </c>
      <c r="E555" s="8" t="s">
        <v>143</v>
      </c>
      <c r="F555" s="8">
        <v>8.64</v>
      </c>
      <c r="G555" s="8">
        <v>16</v>
      </c>
      <c r="H555" s="8">
        <v>1.38</v>
      </c>
      <c r="I555" s="8">
        <v>0.86</v>
      </c>
      <c r="J555" s="8">
        <v>3.02</v>
      </c>
      <c r="K555" s="2" t="str">
        <f t="shared" si="32"/>
        <v>Forecast</v>
      </c>
      <c r="L555" s="1">
        <f t="shared" si="33"/>
        <v>9.9537037037037006</v>
      </c>
      <c r="M555" s="1">
        <f t="shared" si="34"/>
        <v>34.953703703703702</v>
      </c>
      <c r="N555" s="1" t="str">
        <f t="shared" si="35"/>
        <v>Manufacturer</v>
      </c>
    </row>
    <row r="556" spans="1:14">
      <c r="A556" s="8">
        <v>2018</v>
      </c>
      <c r="B556" s="8" t="s">
        <v>195</v>
      </c>
      <c r="C556" s="8" t="s">
        <v>196</v>
      </c>
      <c r="D556" s="8" t="s">
        <v>125</v>
      </c>
      <c r="E556" s="8" t="s">
        <v>143</v>
      </c>
      <c r="F556" s="8">
        <v>0.31</v>
      </c>
      <c r="G556" s="8">
        <v>33.4</v>
      </c>
      <c r="H556" s="8">
        <v>0.1</v>
      </c>
      <c r="I556" s="8">
        <v>0.03</v>
      </c>
      <c r="J556" s="8">
        <v>0.11</v>
      </c>
      <c r="K556" s="2" t="str">
        <f t="shared" si="32"/>
        <v>Actual</v>
      </c>
      <c r="L556" s="1">
        <f t="shared" si="33"/>
        <v>9.67741935483871</v>
      </c>
      <c r="M556" s="1">
        <f t="shared" si="34"/>
        <v>35.4838709677419</v>
      </c>
      <c r="N556" s="1" t="str">
        <f t="shared" si="35"/>
        <v>Manufacturer</v>
      </c>
    </row>
    <row r="557" spans="1:14">
      <c r="A557" s="8">
        <v>2019</v>
      </c>
      <c r="B557" s="8" t="s">
        <v>195</v>
      </c>
      <c r="C557" s="8" t="s">
        <v>196</v>
      </c>
      <c r="D557" s="8" t="s">
        <v>125</v>
      </c>
      <c r="E557" s="8" t="s">
        <v>143</v>
      </c>
      <c r="F557" s="8">
        <v>0.94</v>
      </c>
      <c r="G557" s="8">
        <v>34.9</v>
      </c>
      <c r="H557" s="8">
        <v>0.33</v>
      </c>
      <c r="I557" s="8">
        <v>0.09</v>
      </c>
      <c r="J557" s="8">
        <v>0.33</v>
      </c>
      <c r="K557" s="2" t="str">
        <f t="shared" si="32"/>
        <v>Actual</v>
      </c>
      <c r="L557" s="1">
        <f t="shared" si="33"/>
        <v>9.5744680851063801</v>
      </c>
      <c r="M557" s="1">
        <f t="shared" si="34"/>
        <v>35.106382978723403</v>
      </c>
      <c r="N557" s="1" t="str">
        <f t="shared" si="35"/>
        <v>Manufacturer</v>
      </c>
    </row>
    <row r="558" spans="1:14">
      <c r="A558" s="8">
        <v>2020</v>
      </c>
      <c r="B558" s="8" t="s">
        <v>195</v>
      </c>
      <c r="C558" s="8" t="s">
        <v>196</v>
      </c>
      <c r="D558" s="8" t="s">
        <v>125</v>
      </c>
      <c r="E558" s="8" t="s">
        <v>143</v>
      </c>
      <c r="F558" s="8">
        <v>1.45</v>
      </c>
      <c r="G558" s="8">
        <v>38.299999999999997</v>
      </c>
      <c r="H558" s="8">
        <v>0.55000000000000004</v>
      </c>
      <c r="I558" s="8">
        <v>0.14000000000000001</v>
      </c>
      <c r="J558" s="8">
        <v>0.51</v>
      </c>
      <c r="K558" s="2" t="str">
        <f t="shared" si="32"/>
        <v>Actual</v>
      </c>
      <c r="L558" s="1">
        <f t="shared" si="33"/>
        <v>9.6551724137930997</v>
      </c>
      <c r="M558" s="1">
        <f t="shared" si="34"/>
        <v>35.172413793103502</v>
      </c>
      <c r="N558" s="1" t="str">
        <f t="shared" si="35"/>
        <v>Manufacturer</v>
      </c>
    </row>
    <row r="559" spans="1:14">
      <c r="A559" s="8">
        <v>2021</v>
      </c>
      <c r="B559" s="8" t="s">
        <v>195</v>
      </c>
      <c r="C559" s="8" t="s">
        <v>196</v>
      </c>
      <c r="D559" s="8" t="s">
        <v>125</v>
      </c>
      <c r="E559" s="8" t="s">
        <v>143</v>
      </c>
      <c r="F559" s="8">
        <v>2.2599999999999998</v>
      </c>
      <c r="G559" s="8">
        <v>40.200000000000003</v>
      </c>
      <c r="H559" s="8">
        <v>0.91</v>
      </c>
      <c r="I559" s="8">
        <v>0.23</v>
      </c>
      <c r="J559" s="8">
        <v>0.79</v>
      </c>
      <c r="K559" s="2" t="str">
        <f t="shared" si="32"/>
        <v>Actual</v>
      </c>
      <c r="L559" s="1">
        <f t="shared" si="33"/>
        <v>10.1769911504425</v>
      </c>
      <c r="M559" s="1">
        <f t="shared" si="34"/>
        <v>34.955752212389399</v>
      </c>
      <c r="N559" s="1" t="str">
        <f t="shared" si="35"/>
        <v>Manufacturer</v>
      </c>
    </row>
    <row r="560" spans="1:14">
      <c r="A560" s="8">
        <v>2022</v>
      </c>
      <c r="B560" s="8" t="s">
        <v>195</v>
      </c>
      <c r="C560" s="8" t="s">
        <v>196</v>
      </c>
      <c r="D560" s="8" t="s">
        <v>125</v>
      </c>
      <c r="E560" s="8" t="s">
        <v>143</v>
      </c>
      <c r="F560" s="8">
        <v>3.1</v>
      </c>
      <c r="G560" s="8">
        <v>37.6</v>
      </c>
      <c r="H560" s="8">
        <v>1.17</v>
      </c>
      <c r="I560" s="8">
        <v>0.31</v>
      </c>
      <c r="J560" s="8">
        <v>1.0900000000000001</v>
      </c>
      <c r="K560" s="2" t="str">
        <f t="shared" si="32"/>
        <v>Actual</v>
      </c>
      <c r="L560" s="1">
        <f t="shared" si="33"/>
        <v>10</v>
      </c>
      <c r="M560" s="1">
        <f t="shared" si="34"/>
        <v>35.161290322580598</v>
      </c>
      <c r="N560" s="1" t="str">
        <f t="shared" si="35"/>
        <v>Manufacturer</v>
      </c>
    </row>
    <row r="561" spans="1:14">
      <c r="A561" s="8">
        <v>2023</v>
      </c>
      <c r="B561" s="8" t="s">
        <v>195</v>
      </c>
      <c r="C561" s="8" t="s">
        <v>196</v>
      </c>
      <c r="D561" s="8" t="s">
        <v>125</v>
      </c>
      <c r="E561" s="8" t="s">
        <v>143</v>
      </c>
      <c r="F561" s="8">
        <v>4.04</v>
      </c>
      <c r="G561" s="8">
        <v>22.2</v>
      </c>
      <c r="H561" s="8">
        <v>0.9</v>
      </c>
      <c r="I561" s="8">
        <v>0.4</v>
      </c>
      <c r="J561" s="8">
        <v>1.41</v>
      </c>
      <c r="K561" s="2" t="str">
        <f t="shared" si="32"/>
        <v>Actual</v>
      </c>
      <c r="L561" s="1">
        <f t="shared" si="33"/>
        <v>9.9009900990098991</v>
      </c>
      <c r="M561" s="1">
        <f t="shared" si="34"/>
        <v>34.900990099009903</v>
      </c>
      <c r="N561" s="1" t="str">
        <f t="shared" si="35"/>
        <v>Manufacturer</v>
      </c>
    </row>
    <row r="562" spans="1:14">
      <c r="A562" s="8">
        <v>2024</v>
      </c>
      <c r="B562" s="8" t="s">
        <v>195</v>
      </c>
      <c r="C562" s="8" t="s">
        <v>196</v>
      </c>
      <c r="D562" s="8" t="s">
        <v>125</v>
      </c>
      <c r="E562" s="8" t="s">
        <v>143</v>
      </c>
      <c r="F562" s="8">
        <v>5.07</v>
      </c>
      <c r="G562" s="8">
        <v>30</v>
      </c>
      <c r="H562" s="8">
        <v>1.52</v>
      </c>
      <c r="I562" s="8">
        <v>0.51</v>
      </c>
      <c r="J562" s="8">
        <v>1.77</v>
      </c>
      <c r="K562" s="2" t="str">
        <f t="shared" si="32"/>
        <v>Actual</v>
      </c>
      <c r="L562" s="1">
        <f t="shared" si="33"/>
        <v>10.0591715976331</v>
      </c>
      <c r="M562" s="1">
        <f t="shared" si="34"/>
        <v>34.911242603550299</v>
      </c>
      <c r="N562" s="1" t="str">
        <f t="shared" si="35"/>
        <v>Manufacturer</v>
      </c>
    </row>
    <row r="563" spans="1:14">
      <c r="A563" s="8">
        <v>2025</v>
      </c>
      <c r="B563" s="8" t="s">
        <v>195</v>
      </c>
      <c r="C563" s="8" t="s">
        <v>196</v>
      </c>
      <c r="D563" s="8" t="s">
        <v>125</v>
      </c>
      <c r="E563" s="8" t="s">
        <v>143</v>
      </c>
      <c r="F563" s="8">
        <v>5.87</v>
      </c>
      <c r="G563" s="8">
        <v>23.4</v>
      </c>
      <c r="H563" s="8">
        <v>1.37</v>
      </c>
      <c r="I563" s="8">
        <v>0.59</v>
      </c>
      <c r="J563" s="8">
        <v>2.0499999999999998</v>
      </c>
      <c r="K563" s="2" t="str">
        <f t="shared" si="32"/>
        <v>Forecast</v>
      </c>
      <c r="L563" s="1">
        <f t="shared" si="33"/>
        <v>10.051107325383301</v>
      </c>
      <c r="M563" s="1">
        <f t="shared" si="34"/>
        <v>34.923339011925002</v>
      </c>
      <c r="N563" s="1" t="str">
        <f t="shared" si="35"/>
        <v>Manufacturer</v>
      </c>
    </row>
    <row r="564" spans="1:14">
      <c r="A564" s="8">
        <v>2026</v>
      </c>
      <c r="B564" s="8" t="s">
        <v>195</v>
      </c>
      <c r="C564" s="8" t="s">
        <v>196</v>
      </c>
      <c r="D564" s="8" t="s">
        <v>125</v>
      </c>
      <c r="E564" s="8" t="s">
        <v>143</v>
      </c>
      <c r="F564" s="8">
        <v>6.96</v>
      </c>
      <c r="G564" s="8">
        <v>17.600000000000001</v>
      </c>
      <c r="H564" s="8">
        <v>1.22</v>
      </c>
      <c r="I564" s="8">
        <v>0.7</v>
      </c>
      <c r="J564" s="8">
        <v>2.44</v>
      </c>
      <c r="K564" s="2" t="str">
        <f t="shared" si="32"/>
        <v>Forecast</v>
      </c>
      <c r="L564" s="1">
        <f t="shared" si="33"/>
        <v>10.0574712643678</v>
      </c>
      <c r="M564" s="1">
        <f t="shared" si="34"/>
        <v>35.057471264367798</v>
      </c>
      <c r="N564" s="1" t="str">
        <f t="shared" si="35"/>
        <v>Manufacturer</v>
      </c>
    </row>
    <row r="565" spans="1:14">
      <c r="A565" s="8">
        <v>2010</v>
      </c>
      <c r="B565" s="8" t="s">
        <v>197</v>
      </c>
      <c r="C565" s="8">
        <v>1347</v>
      </c>
      <c r="D565" s="8" t="s">
        <v>125</v>
      </c>
      <c r="E565" s="8" t="s">
        <v>115</v>
      </c>
      <c r="F565" s="8">
        <v>0.63</v>
      </c>
      <c r="G565" s="8">
        <v>39.700000000000003</v>
      </c>
      <c r="H565" s="8">
        <v>0.25</v>
      </c>
      <c r="I565" s="8">
        <v>0.05</v>
      </c>
      <c r="J565" s="8">
        <v>0.28000000000000003</v>
      </c>
      <c r="K565" s="2" t="str">
        <f t="shared" si="32"/>
        <v>Actual</v>
      </c>
      <c r="L565" s="1">
        <f t="shared" si="33"/>
        <v>7.9365079365079403</v>
      </c>
      <c r="M565" s="1">
        <f t="shared" si="34"/>
        <v>44.4444444444444</v>
      </c>
      <c r="N565" s="1" t="str">
        <f t="shared" si="35"/>
        <v>Manufacturer</v>
      </c>
    </row>
    <row r="566" spans="1:14">
      <c r="A566" s="8">
        <v>2011</v>
      </c>
      <c r="B566" s="8" t="s">
        <v>197</v>
      </c>
      <c r="C566" s="8">
        <v>1347</v>
      </c>
      <c r="D566" s="8" t="s">
        <v>125</v>
      </c>
      <c r="E566" s="8" t="s">
        <v>115</v>
      </c>
      <c r="F566" s="8">
        <v>0.62</v>
      </c>
      <c r="G566" s="8">
        <v>33.700000000000003</v>
      </c>
      <c r="H566" s="8">
        <v>0.21</v>
      </c>
      <c r="I566" s="8">
        <v>0.05</v>
      </c>
      <c r="J566" s="8">
        <v>0.28000000000000003</v>
      </c>
      <c r="K566" s="2" t="str">
        <f t="shared" si="32"/>
        <v>Actual</v>
      </c>
      <c r="L566" s="1">
        <f t="shared" si="33"/>
        <v>8.0645161290322598</v>
      </c>
      <c r="M566" s="1">
        <f t="shared" si="34"/>
        <v>45.161290322580598</v>
      </c>
      <c r="N566" s="1" t="str">
        <f t="shared" si="35"/>
        <v>Manufacturer</v>
      </c>
    </row>
    <row r="567" spans="1:14">
      <c r="A567" s="8">
        <v>2012</v>
      </c>
      <c r="B567" s="8" t="s">
        <v>197</v>
      </c>
      <c r="C567" s="8">
        <v>1347</v>
      </c>
      <c r="D567" s="8" t="s">
        <v>125</v>
      </c>
      <c r="E567" s="8" t="s">
        <v>115</v>
      </c>
      <c r="F567" s="8">
        <v>0.62</v>
      </c>
      <c r="G567" s="8">
        <v>39.200000000000003</v>
      </c>
      <c r="H567" s="8">
        <v>0.24</v>
      </c>
      <c r="I567" s="8">
        <v>0.05</v>
      </c>
      <c r="J567" s="8">
        <v>0.28000000000000003</v>
      </c>
      <c r="K567" s="2" t="str">
        <f t="shared" si="32"/>
        <v>Actual</v>
      </c>
      <c r="L567" s="1">
        <f t="shared" si="33"/>
        <v>8.0645161290322598</v>
      </c>
      <c r="M567" s="1">
        <f t="shared" si="34"/>
        <v>45.161290322580598</v>
      </c>
      <c r="N567" s="1" t="str">
        <f t="shared" si="35"/>
        <v>Manufacturer</v>
      </c>
    </row>
    <row r="568" spans="1:14">
      <c r="A568" s="8">
        <v>2013</v>
      </c>
      <c r="B568" s="8" t="s">
        <v>197</v>
      </c>
      <c r="C568" s="8">
        <v>1347</v>
      </c>
      <c r="D568" s="8" t="s">
        <v>125</v>
      </c>
      <c r="E568" s="8" t="s">
        <v>115</v>
      </c>
      <c r="F568" s="8">
        <v>0.65</v>
      </c>
      <c r="G568" s="8">
        <v>44.1</v>
      </c>
      <c r="H568" s="8">
        <v>0.28999999999999998</v>
      </c>
      <c r="I568" s="8">
        <v>0.05</v>
      </c>
      <c r="J568" s="8">
        <v>0.28999999999999998</v>
      </c>
      <c r="K568" s="2" t="str">
        <f t="shared" si="32"/>
        <v>Actual</v>
      </c>
      <c r="L568" s="1">
        <f t="shared" si="33"/>
        <v>7.6923076923076898</v>
      </c>
      <c r="M568" s="1">
        <f t="shared" si="34"/>
        <v>44.615384615384599</v>
      </c>
      <c r="N568" s="1" t="str">
        <f t="shared" si="35"/>
        <v>Manufacturer</v>
      </c>
    </row>
    <row r="569" spans="1:14">
      <c r="A569" s="8">
        <v>2014</v>
      </c>
      <c r="B569" s="8" t="s">
        <v>197</v>
      </c>
      <c r="C569" s="8">
        <v>1347</v>
      </c>
      <c r="D569" s="8" t="s">
        <v>125</v>
      </c>
      <c r="E569" s="8" t="s">
        <v>115</v>
      </c>
      <c r="F569" s="8">
        <v>0.68</v>
      </c>
      <c r="G569" s="8">
        <v>43.9</v>
      </c>
      <c r="H569" s="8">
        <v>0.3</v>
      </c>
      <c r="I569" s="8">
        <v>0.05</v>
      </c>
      <c r="J569" s="8">
        <v>0.3</v>
      </c>
      <c r="K569" s="2" t="str">
        <f t="shared" si="32"/>
        <v>Actual</v>
      </c>
      <c r="L569" s="1">
        <f t="shared" si="33"/>
        <v>7.3529411764705896</v>
      </c>
      <c r="M569" s="1">
        <f t="shared" si="34"/>
        <v>44.117647058823501</v>
      </c>
      <c r="N569" s="1" t="str">
        <f t="shared" si="35"/>
        <v>Manufacturer</v>
      </c>
    </row>
    <row r="570" spans="1:14">
      <c r="A570" s="8">
        <v>2015</v>
      </c>
      <c r="B570" s="8" t="s">
        <v>197</v>
      </c>
      <c r="C570" s="8">
        <v>1347</v>
      </c>
      <c r="D570" s="8" t="s">
        <v>125</v>
      </c>
      <c r="E570" s="8" t="s">
        <v>115</v>
      </c>
      <c r="F570" s="8">
        <v>0.7</v>
      </c>
      <c r="G570" s="8">
        <v>40.1</v>
      </c>
      <c r="H570" s="8">
        <v>0.28000000000000003</v>
      </c>
      <c r="I570" s="8">
        <v>0.06</v>
      </c>
      <c r="J570" s="8">
        <v>0.32</v>
      </c>
      <c r="K570" s="2" t="str">
        <f t="shared" si="32"/>
        <v>Actual</v>
      </c>
      <c r="L570" s="1">
        <f t="shared" si="33"/>
        <v>8.5714285714285694</v>
      </c>
      <c r="M570" s="1">
        <f t="shared" si="34"/>
        <v>45.714285714285701</v>
      </c>
      <c r="N570" s="1" t="str">
        <f t="shared" si="35"/>
        <v>Manufacturer</v>
      </c>
    </row>
    <row r="571" spans="1:14">
      <c r="A571" s="8">
        <v>2016</v>
      </c>
      <c r="B571" s="8" t="s">
        <v>197</v>
      </c>
      <c r="C571" s="8">
        <v>1347</v>
      </c>
      <c r="D571" s="8" t="s">
        <v>125</v>
      </c>
      <c r="E571" s="8" t="s">
        <v>115</v>
      </c>
      <c r="F571" s="8">
        <v>0.76</v>
      </c>
      <c r="G571" s="8">
        <v>40</v>
      </c>
      <c r="H571" s="8">
        <v>0.31</v>
      </c>
      <c r="I571" s="8">
        <v>0.06</v>
      </c>
      <c r="J571" s="8">
        <v>0.34</v>
      </c>
      <c r="K571" s="2" t="str">
        <f t="shared" si="32"/>
        <v>Actual</v>
      </c>
      <c r="L571" s="1">
        <f t="shared" si="33"/>
        <v>7.8947368421052602</v>
      </c>
      <c r="M571" s="1">
        <f t="shared" si="34"/>
        <v>44.7368421052632</v>
      </c>
      <c r="N571" s="1" t="str">
        <f t="shared" si="35"/>
        <v>Manufacturer</v>
      </c>
    </row>
    <row r="572" spans="1:14">
      <c r="A572" s="8">
        <v>2017</v>
      </c>
      <c r="B572" s="8" t="s">
        <v>197</v>
      </c>
      <c r="C572" s="8">
        <v>1347</v>
      </c>
      <c r="D572" s="8" t="s">
        <v>125</v>
      </c>
      <c r="E572" s="8" t="s">
        <v>115</v>
      </c>
      <c r="F572" s="8">
        <v>0.88</v>
      </c>
      <c r="G572" s="8">
        <v>33</v>
      </c>
      <c r="H572" s="8">
        <v>0.28999999999999998</v>
      </c>
      <c r="I572" s="8">
        <v>7.0000000000000007E-2</v>
      </c>
      <c r="J572" s="8">
        <v>0.39</v>
      </c>
      <c r="K572" s="2" t="str">
        <f t="shared" si="32"/>
        <v>Actual</v>
      </c>
      <c r="L572" s="1">
        <f t="shared" si="33"/>
        <v>7.9545454545454604</v>
      </c>
      <c r="M572" s="1">
        <f t="shared" si="34"/>
        <v>44.318181818181799</v>
      </c>
      <c r="N572" s="1" t="str">
        <f t="shared" si="35"/>
        <v>Manufacturer</v>
      </c>
    </row>
    <row r="573" spans="1:14">
      <c r="A573" s="8">
        <v>2018</v>
      </c>
      <c r="B573" s="8" t="s">
        <v>197</v>
      </c>
      <c r="C573" s="8">
        <v>1347</v>
      </c>
      <c r="D573" s="8" t="s">
        <v>125</v>
      </c>
      <c r="E573" s="8" t="s">
        <v>115</v>
      </c>
      <c r="F573" s="8">
        <v>0.85</v>
      </c>
      <c r="G573" s="8">
        <v>38.4</v>
      </c>
      <c r="H573" s="8">
        <v>0.33</v>
      </c>
      <c r="I573" s="8">
        <v>7.0000000000000007E-2</v>
      </c>
      <c r="J573" s="8">
        <v>0.38</v>
      </c>
      <c r="K573" s="2" t="str">
        <f t="shared" si="32"/>
        <v>Actual</v>
      </c>
      <c r="L573" s="1">
        <f t="shared" si="33"/>
        <v>8.2352941176470598</v>
      </c>
      <c r="M573" s="1">
        <f t="shared" si="34"/>
        <v>44.705882352941202</v>
      </c>
      <c r="N573" s="1" t="str">
        <f t="shared" si="35"/>
        <v>Manufacturer</v>
      </c>
    </row>
    <row r="574" spans="1:14">
      <c r="A574" s="8">
        <v>2019</v>
      </c>
      <c r="B574" s="8" t="s">
        <v>197</v>
      </c>
      <c r="C574" s="8">
        <v>1347</v>
      </c>
      <c r="D574" s="8" t="s">
        <v>125</v>
      </c>
      <c r="E574" s="8" t="s">
        <v>115</v>
      </c>
      <c r="F574" s="8">
        <v>0.93</v>
      </c>
      <c r="G574" s="8">
        <v>42.1</v>
      </c>
      <c r="H574" s="8">
        <v>0.39</v>
      </c>
      <c r="I574" s="8">
        <v>7.0000000000000007E-2</v>
      </c>
      <c r="J574" s="8">
        <v>0.42</v>
      </c>
      <c r="K574" s="2" t="str">
        <f t="shared" si="32"/>
        <v>Actual</v>
      </c>
      <c r="L574" s="1">
        <f t="shared" si="33"/>
        <v>7.5268817204301097</v>
      </c>
      <c r="M574" s="1">
        <f t="shared" si="34"/>
        <v>45.161290322580598</v>
      </c>
      <c r="N574" s="1" t="str">
        <f t="shared" si="35"/>
        <v>Manufacturer</v>
      </c>
    </row>
    <row r="575" spans="1:14">
      <c r="A575" s="8">
        <v>2020</v>
      </c>
      <c r="B575" s="8" t="s">
        <v>197</v>
      </c>
      <c r="C575" s="8">
        <v>1347</v>
      </c>
      <c r="D575" s="8" t="s">
        <v>125</v>
      </c>
      <c r="E575" s="8" t="s">
        <v>115</v>
      </c>
      <c r="F575" s="8">
        <v>0.97</v>
      </c>
      <c r="G575" s="8">
        <v>38.799999999999997</v>
      </c>
      <c r="H575" s="8">
        <v>0.38</v>
      </c>
      <c r="I575" s="8">
        <v>0.08</v>
      </c>
      <c r="J575" s="8">
        <v>0.44</v>
      </c>
      <c r="K575" s="2" t="str">
        <f t="shared" si="32"/>
        <v>Actual</v>
      </c>
      <c r="L575" s="1">
        <f t="shared" si="33"/>
        <v>8.2474226804123703</v>
      </c>
      <c r="M575" s="1">
        <f t="shared" si="34"/>
        <v>45.360824742268001</v>
      </c>
      <c r="N575" s="1" t="str">
        <f t="shared" si="35"/>
        <v>Manufacturer</v>
      </c>
    </row>
    <row r="576" spans="1:14">
      <c r="A576" s="8">
        <v>2021</v>
      </c>
      <c r="B576" s="8" t="s">
        <v>197</v>
      </c>
      <c r="C576" s="8">
        <v>1347</v>
      </c>
      <c r="D576" s="8" t="s">
        <v>125</v>
      </c>
      <c r="E576" s="8" t="s">
        <v>115</v>
      </c>
      <c r="F576" s="8">
        <v>1.78</v>
      </c>
      <c r="G576" s="8">
        <v>43.1</v>
      </c>
      <c r="H576" s="8">
        <v>0.77</v>
      </c>
      <c r="I576" s="8">
        <v>0.14000000000000001</v>
      </c>
      <c r="J576" s="8">
        <v>0.8</v>
      </c>
      <c r="K576" s="2" t="str">
        <f t="shared" si="32"/>
        <v>Actual</v>
      </c>
      <c r="L576" s="1">
        <f t="shared" si="33"/>
        <v>7.8651685393258397</v>
      </c>
      <c r="M576" s="1">
        <f t="shared" si="34"/>
        <v>44.943820224719097</v>
      </c>
      <c r="N576" s="1" t="str">
        <f t="shared" si="35"/>
        <v>Manufacturer</v>
      </c>
    </row>
    <row r="577" spans="1:14">
      <c r="A577" s="8">
        <v>2022</v>
      </c>
      <c r="B577" s="8" t="s">
        <v>197</v>
      </c>
      <c r="C577" s="8">
        <v>1347</v>
      </c>
      <c r="D577" s="8" t="s">
        <v>125</v>
      </c>
      <c r="E577" s="8" t="s">
        <v>115</v>
      </c>
      <c r="F577" s="8">
        <v>2.5099999999999998</v>
      </c>
      <c r="G577" s="8">
        <v>42.9</v>
      </c>
      <c r="H577" s="8">
        <v>1.08</v>
      </c>
      <c r="I577" s="8">
        <v>0.2</v>
      </c>
      <c r="J577" s="8">
        <v>1.1299999999999999</v>
      </c>
      <c r="K577" s="2" t="str">
        <f t="shared" si="32"/>
        <v>Actual</v>
      </c>
      <c r="L577" s="1">
        <f t="shared" si="33"/>
        <v>7.9681274900398398</v>
      </c>
      <c r="M577" s="1">
        <f t="shared" si="34"/>
        <v>45.019920318725099</v>
      </c>
      <c r="N577" s="1" t="str">
        <f t="shared" si="35"/>
        <v>Manufacturer</v>
      </c>
    </row>
    <row r="578" spans="1:14">
      <c r="A578" s="8">
        <v>2023</v>
      </c>
      <c r="B578" s="8" t="s">
        <v>197</v>
      </c>
      <c r="C578" s="8">
        <v>1347</v>
      </c>
      <c r="D578" s="8" t="s">
        <v>125</v>
      </c>
      <c r="E578" s="8" t="s">
        <v>115</v>
      </c>
      <c r="F578" s="8">
        <v>2.3199999999999998</v>
      </c>
      <c r="G578" s="8">
        <v>38.299999999999997</v>
      </c>
      <c r="H578" s="8">
        <v>0.89</v>
      </c>
      <c r="I578" s="8">
        <v>0.19</v>
      </c>
      <c r="J578" s="8">
        <v>1.04</v>
      </c>
      <c r="K578" s="2" t="str">
        <f t="shared" si="32"/>
        <v>Actual</v>
      </c>
      <c r="L578" s="1">
        <f t="shared" si="33"/>
        <v>8.18965517241379</v>
      </c>
      <c r="M578" s="1">
        <f t="shared" si="34"/>
        <v>44.827586206896598</v>
      </c>
      <c r="N578" s="1" t="str">
        <f t="shared" si="35"/>
        <v>Manufacturer</v>
      </c>
    </row>
    <row r="579" spans="1:14">
      <c r="A579" s="8">
        <v>2024</v>
      </c>
      <c r="B579" s="8" t="s">
        <v>197</v>
      </c>
      <c r="C579" s="8">
        <v>1347</v>
      </c>
      <c r="D579" s="8" t="s">
        <v>125</v>
      </c>
      <c r="E579" s="8" t="s">
        <v>115</v>
      </c>
      <c r="F579" s="8">
        <v>1.94</v>
      </c>
      <c r="G579" s="8">
        <v>40.299999999999997</v>
      </c>
      <c r="H579" s="8">
        <v>0.78</v>
      </c>
      <c r="I579" s="8">
        <v>0.16</v>
      </c>
      <c r="J579" s="8">
        <v>0.87</v>
      </c>
      <c r="K579" s="2" t="str">
        <f t="shared" ref="K579:K618" si="36">IF(A579&gt;=2025,"Forecast","Actual")</f>
        <v>Actual</v>
      </c>
      <c r="L579" s="1">
        <f t="shared" ref="L579:L618" si="37">IF(F579=0,0,I579/F579*100)</f>
        <v>8.2474226804123703</v>
      </c>
      <c r="M579" s="1">
        <f t="shared" ref="M579:M618" si="38">IF(F579=0,0,J579/F579*100)</f>
        <v>44.845360824742301</v>
      </c>
      <c r="N579" s="1" t="str">
        <f t="shared" ref="N579:N618" si="39">IF(LEFT(E579,7)="fabless","Fabless",IF(LEFT(E579,9)="equipment","Equipment",IF(E579="foundry","Manufacturer",IF(LEFT(E579,3)="idm","Manufacturer",IF(E579="eda_software","EDA Software","Other")))))</f>
        <v>Manufacturer</v>
      </c>
    </row>
    <row r="580" spans="1:14">
      <c r="A580" s="8">
        <v>2025</v>
      </c>
      <c r="B580" s="8" t="s">
        <v>197</v>
      </c>
      <c r="C580" s="8">
        <v>1347</v>
      </c>
      <c r="D580" s="8" t="s">
        <v>125</v>
      </c>
      <c r="E580" s="8" t="s">
        <v>115</v>
      </c>
      <c r="F580" s="8">
        <v>2.2000000000000002</v>
      </c>
      <c r="G580" s="8">
        <v>44.4</v>
      </c>
      <c r="H580" s="8">
        <v>0.98</v>
      </c>
      <c r="I580" s="8">
        <v>0.18</v>
      </c>
      <c r="J580" s="8">
        <v>0.99</v>
      </c>
      <c r="K580" s="2" t="str">
        <f t="shared" si="36"/>
        <v>Forecast</v>
      </c>
      <c r="L580" s="1">
        <f t="shared" si="37"/>
        <v>8.1818181818181799</v>
      </c>
      <c r="M580" s="1">
        <f t="shared" si="38"/>
        <v>45</v>
      </c>
      <c r="N580" s="1" t="str">
        <f t="shared" si="39"/>
        <v>Manufacturer</v>
      </c>
    </row>
    <row r="581" spans="1:14">
      <c r="A581" s="8">
        <v>2026</v>
      </c>
      <c r="B581" s="8" t="s">
        <v>197</v>
      </c>
      <c r="C581" s="8">
        <v>1347</v>
      </c>
      <c r="D581" s="8" t="s">
        <v>125</v>
      </c>
      <c r="E581" s="8" t="s">
        <v>115</v>
      </c>
      <c r="F581" s="8">
        <v>2.3199999999999998</v>
      </c>
      <c r="G581" s="8">
        <v>35.700000000000003</v>
      </c>
      <c r="H581" s="8">
        <v>0.83</v>
      </c>
      <c r="I581" s="8">
        <v>0.19</v>
      </c>
      <c r="J581" s="8">
        <v>1.05</v>
      </c>
      <c r="K581" s="2" t="str">
        <f t="shared" si="36"/>
        <v>Forecast</v>
      </c>
      <c r="L581" s="1">
        <f t="shared" si="37"/>
        <v>8.18965517241379</v>
      </c>
      <c r="M581" s="1">
        <f t="shared" si="38"/>
        <v>45.258620689655203</v>
      </c>
      <c r="N581" s="1" t="str">
        <f t="shared" si="39"/>
        <v>Manufacturer</v>
      </c>
    </row>
    <row r="582" spans="1:14">
      <c r="A582" s="8">
        <v>2019</v>
      </c>
      <c r="B582" s="8" t="s">
        <v>198</v>
      </c>
      <c r="C582" s="8" t="s">
        <v>199</v>
      </c>
      <c r="D582" s="8" t="s">
        <v>121</v>
      </c>
      <c r="E582" s="8" t="s">
        <v>200</v>
      </c>
      <c r="F582" s="8">
        <v>0</v>
      </c>
      <c r="G582" s="8">
        <v>8.9</v>
      </c>
      <c r="H582" s="8">
        <v>0</v>
      </c>
      <c r="I582" s="8">
        <v>0</v>
      </c>
      <c r="J582" s="8">
        <v>0</v>
      </c>
      <c r="K582" s="2" t="str">
        <f t="shared" si="36"/>
        <v>Actual</v>
      </c>
      <c r="L582" s="1">
        <f t="shared" si="37"/>
        <v>0</v>
      </c>
      <c r="M582" s="1">
        <f t="shared" si="38"/>
        <v>0</v>
      </c>
      <c r="N582" s="1" t="str">
        <f t="shared" si="39"/>
        <v>Fabless</v>
      </c>
    </row>
    <row r="583" spans="1:14">
      <c r="A583" s="8">
        <v>2020</v>
      </c>
      <c r="B583" s="8" t="s">
        <v>198</v>
      </c>
      <c r="C583" s="8" t="s">
        <v>199</v>
      </c>
      <c r="D583" s="8" t="s">
        <v>121</v>
      </c>
      <c r="E583" s="8" t="s">
        <v>200</v>
      </c>
      <c r="F583" s="8">
        <v>0</v>
      </c>
      <c r="G583" s="8">
        <v>5.5</v>
      </c>
      <c r="H583" s="8">
        <v>0</v>
      </c>
      <c r="I583" s="8">
        <v>0</v>
      </c>
      <c r="J583" s="8">
        <v>0</v>
      </c>
      <c r="K583" s="2" t="str">
        <f t="shared" si="36"/>
        <v>Actual</v>
      </c>
      <c r="L583" s="1">
        <f t="shared" si="37"/>
        <v>0</v>
      </c>
      <c r="M583" s="1">
        <f t="shared" si="38"/>
        <v>0</v>
      </c>
      <c r="N583" s="1" t="str">
        <f t="shared" si="39"/>
        <v>Fabless</v>
      </c>
    </row>
    <row r="584" spans="1:14">
      <c r="A584" s="8">
        <v>2021</v>
      </c>
      <c r="B584" s="8" t="s">
        <v>198</v>
      </c>
      <c r="C584" s="8" t="s">
        <v>199</v>
      </c>
      <c r="D584" s="8" t="s">
        <v>121</v>
      </c>
      <c r="E584" s="8" t="s">
        <v>200</v>
      </c>
      <c r="F584" s="8">
        <v>0.1</v>
      </c>
      <c r="G584" s="8">
        <v>7.4</v>
      </c>
      <c r="H584" s="8">
        <v>0.01</v>
      </c>
      <c r="I584" s="8">
        <v>0.05</v>
      </c>
      <c r="J584" s="8">
        <v>0</v>
      </c>
      <c r="K584" s="2" t="str">
        <f t="shared" si="36"/>
        <v>Actual</v>
      </c>
      <c r="L584" s="1">
        <f t="shared" si="37"/>
        <v>50</v>
      </c>
      <c r="M584" s="1">
        <f t="shared" si="38"/>
        <v>0</v>
      </c>
      <c r="N584" s="1" t="str">
        <f t="shared" si="39"/>
        <v>Fabless</v>
      </c>
    </row>
    <row r="585" spans="1:14">
      <c r="A585" s="8">
        <v>2022</v>
      </c>
      <c r="B585" s="8" t="s">
        <v>198</v>
      </c>
      <c r="C585" s="8" t="s">
        <v>199</v>
      </c>
      <c r="D585" s="8" t="s">
        <v>121</v>
      </c>
      <c r="E585" s="8" t="s">
        <v>200</v>
      </c>
      <c r="F585" s="8">
        <v>0.22</v>
      </c>
      <c r="G585" s="8">
        <v>15.4</v>
      </c>
      <c r="H585" s="8">
        <v>0.03</v>
      </c>
      <c r="I585" s="8">
        <v>0.11</v>
      </c>
      <c r="J585" s="8">
        <v>0</v>
      </c>
      <c r="K585" s="2" t="str">
        <f t="shared" si="36"/>
        <v>Actual</v>
      </c>
      <c r="L585" s="1">
        <f t="shared" si="37"/>
        <v>50</v>
      </c>
      <c r="M585" s="1">
        <f t="shared" si="38"/>
        <v>0</v>
      </c>
      <c r="N585" s="1" t="str">
        <f t="shared" si="39"/>
        <v>Fabless</v>
      </c>
    </row>
    <row r="586" spans="1:14">
      <c r="A586" s="8">
        <v>2023</v>
      </c>
      <c r="B586" s="8" t="s">
        <v>198</v>
      </c>
      <c r="C586" s="8" t="s">
        <v>199</v>
      </c>
      <c r="D586" s="8" t="s">
        <v>121</v>
      </c>
      <c r="E586" s="8" t="s">
        <v>200</v>
      </c>
      <c r="F586" s="8">
        <v>0.3</v>
      </c>
      <c r="G586" s="8">
        <v>8.9</v>
      </c>
      <c r="H586" s="8">
        <v>0.03</v>
      </c>
      <c r="I586" s="8">
        <v>0.15</v>
      </c>
      <c r="J586" s="8">
        <v>0</v>
      </c>
      <c r="K586" s="2" t="str">
        <f t="shared" si="36"/>
        <v>Actual</v>
      </c>
      <c r="L586" s="1">
        <f t="shared" si="37"/>
        <v>50</v>
      </c>
      <c r="M586" s="1">
        <f t="shared" si="38"/>
        <v>0</v>
      </c>
      <c r="N586" s="1" t="str">
        <f t="shared" si="39"/>
        <v>Fabless</v>
      </c>
    </row>
    <row r="587" spans="1:14">
      <c r="A587" s="8">
        <v>2024</v>
      </c>
      <c r="B587" s="8" t="s">
        <v>198</v>
      </c>
      <c r="C587" s="8" t="s">
        <v>199</v>
      </c>
      <c r="D587" s="8" t="s">
        <v>121</v>
      </c>
      <c r="E587" s="8" t="s">
        <v>200</v>
      </c>
      <c r="F587" s="8">
        <v>0.77</v>
      </c>
      <c r="G587" s="8">
        <v>4.3</v>
      </c>
      <c r="H587" s="8">
        <v>0.03</v>
      </c>
      <c r="I587" s="8">
        <v>0.39</v>
      </c>
      <c r="J587" s="8">
        <v>0.01</v>
      </c>
      <c r="K587" s="2" t="str">
        <f t="shared" si="36"/>
        <v>Actual</v>
      </c>
      <c r="L587" s="1">
        <f t="shared" si="37"/>
        <v>50.649350649350701</v>
      </c>
      <c r="M587" s="1">
        <f t="shared" si="38"/>
        <v>1.2987012987013</v>
      </c>
      <c r="N587" s="1" t="str">
        <f t="shared" si="39"/>
        <v>Fabless</v>
      </c>
    </row>
    <row r="588" spans="1:14">
      <c r="A588" s="8">
        <v>2025</v>
      </c>
      <c r="B588" s="8" t="s">
        <v>198</v>
      </c>
      <c r="C588" s="8" t="s">
        <v>199</v>
      </c>
      <c r="D588" s="8" t="s">
        <v>121</v>
      </c>
      <c r="E588" s="8" t="s">
        <v>200</v>
      </c>
      <c r="F588" s="8">
        <v>1.64</v>
      </c>
      <c r="G588" s="8">
        <v>7</v>
      </c>
      <c r="H588" s="8">
        <v>0.12</v>
      </c>
      <c r="I588" s="8">
        <v>0.82</v>
      </c>
      <c r="J588" s="8">
        <v>0.02</v>
      </c>
      <c r="K588" s="2" t="str">
        <f t="shared" si="36"/>
        <v>Forecast</v>
      </c>
      <c r="L588" s="1">
        <f t="shared" si="37"/>
        <v>50</v>
      </c>
      <c r="M588" s="1">
        <f t="shared" si="38"/>
        <v>1.2195121951219501</v>
      </c>
      <c r="N588" s="1" t="str">
        <f t="shared" si="39"/>
        <v>Fabless</v>
      </c>
    </row>
    <row r="589" spans="1:14">
      <c r="A589" s="8">
        <v>2026</v>
      </c>
      <c r="B589" s="8" t="s">
        <v>198</v>
      </c>
      <c r="C589" s="8" t="s">
        <v>199</v>
      </c>
      <c r="D589" s="8" t="s">
        <v>121</v>
      </c>
      <c r="E589" s="8" t="s">
        <v>200</v>
      </c>
      <c r="F589" s="8">
        <v>2.4900000000000002</v>
      </c>
      <c r="G589" s="8">
        <v>5.2</v>
      </c>
      <c r="H589" s="8">
        <v>0.13</v>
      </c>
      <c r="I589" s="8">
        <v>1.25</v>
      </c>
      <c r="J589" s="8">
        <v>0.02</v>
      </c>
      <c r="K589" s="2" t="str">
        <f t="shared" si="36"/>
        <v>Forecast</v>
      </c>
      <c r="L589" s="1">
        <f t="shared" si="37"/>
        <v>50.200803212851397</v>
      </c>
      <c r="M589" s="1">
        <f t="shared" si="38"/>
        <v>0.80321285140562204</v>
      </c>
      <c r="N589" s="1" t="str">
        <f t="shared" si="39"/>
        <v>Fabless</v>
      </c>
    </row>
    <row r="590" spans="1:14">
      <c r="A590" s="8">
        <v>2019</v>
      </c>
      <c r="B590" s="8" t="s">
        <v>201</v>
      </c>
      <c r="C590" s="8" t="s">
        <v>202</v>
      </c>
      <c r="D590" s="8" t="s">
        <v>203</v>
      </c>
      <c r="E590" s="8" t="s">
        <v>200</v>
      </c>
      <c r="F590" s="8">
        <v>0</v>
      </c>
      <c r="G590" s="8">
        <v>10.4</v>
      </c>
      <c r="H590" s="8">
        <v>0</v>
      </c>
      <c r="I590" s="8">
        <v>0</v>
      </c>
      <c r="J590" s="8">
        <v>0</v>
      </c>
      <c r="K590" s="2" t="str">
        <f t="shared" si="36"/>
        <v>Actual</v>
      </c>
      <c r="L590" s="1">
        <f t="shared" si="37"/>
        <v>0</v>
      </c>
      <c r="M590" s="1">
        <f t="shared" si="38"/>
        <v>0</v>
      </c>
      <c r="N590" s="1" t="str">
        <f t="shared" si="39"/>
        <v>Fabless</v>
      </c>
    </row>
    <row r="591" spans="1:14">
      <c r="A591" s="8">
        <v>2020</v>
      </c>
      <c r="B591" s="8" t="s">
        <v>201</v>
      </c>
      <c r="C591" s="8" t="s">
        <v>202</v>
      </c>
      <c r="D591" s="8" t="s">
        <v>203</v>
      </c>
      <c r="E591" s="8" t="s">
        <v>200</v>
      </c>
      <c r="F591" s="8">
        <v>0</v>
      </c>
      <c r="G591" s="8">
        <v>11.3</v>
      </c>
      <c r="H591" s="8">
        <v>0</v>
      </c>
      <c r="I591" s="8">
        <v>0</v>
      </c>
      <c r="J591" s="8">
        <v>0</v>
      </c>
      <c r="K591" s="2" t="str">
        <f t="shared" si="36"/>
        <v>Actual</v>
      </c>
      <c r="L591" s="1">
        <f t="shared" si="37"/>
        <v>0</v>
      </c>
      <c r="M591" s="1">
        <f t="shared" si="38"/>
        <v>0</v>
      </c>
      <c r="N591" s="1" t="str">
        <f t="shared" si="39"/>
        <v>Fabless</v>
      </c>
    </row>
    <row r="592" spans="1:14">
      <c r="A592" s="8">
        <v>2021</v>
      </c>
      <c r="B592" s="8" t="s">
        <v>201</v>
      </c>
      <c r="C592" s="8" t="s">
        <v>202</v>
      </c>
      <c r="D592" s="8" t="s">
        <v>203</v>
      </c>
      <c r="E592" s="8" t="s">
        <v>200</v>
      </c>
      <c r="F592" s="8">
        <v>7.0000000000000007E-2</v>
      </c>
      <c r="G592" s="8">
        <v>12.6</v>
      </c>
      <c r="H592" s="8">
        <v>0.01</v>
      </c>
      <c r="I592" s="8">
        <v>0.03</v>
      </c>
      <c r="J592" s="8">
        <v>0</v>
      </c>
      <c r="K592" s="2" t="str">
        <f t="shared" si="36"/>
        <v>Actual</v>
      </c>
      <c r="L592" s="1">
        <f t="shared" si="37"/>
        <v>42.857142857142797</v>
      </c>
      <c r="M592" s="1">
        <f t="shared" si="38"/>
        <v>0</v>
      </c>
      <c r="N592" s="1" t="str">
        <f t="shared" si="39"/>
        <v>Fabless</v>
      </c>
    </row>
    <row r="593" spans="1:14">
      <c r="A593" s="8">
        <v>2022</v>
      </c>
      <c r="B593" s="8" t="s">
        <v>201</v>
      </c>
      <c r="C593" s="8" t="s">
        <v>202</v>
      </c>
      <c r="D593" s="8" t="s">
        <v>203</v>
      </c>
      <c r="E593" s="8" t="s">
        <v>200</v>
      </c>
      <c r="F593" s="8">
        <v>0.05</v>
      </c>
      <c r="G593" s="8">
        <v>11.9</v>
      </c>
      <c r="H593" s="8">
        <v>0.01</v>
      </c>
      <c r="I593" s="8">
        <v>0.02</v>
      </c>
      <c r="J593" s="8">
        <v>0</v>
      </c>
      <c r="K593" s="2" t="str">
        <f t="shared" si="36"/>
        <v>Actual</v>
      </c>
      <c r="L593" s="1">
        <f t="shared" si="37"/>
        <v>40</v>
      </c>
      <c r="M593" s="1">
        <f t="shared" si="38"/>
        <v>0</v>
      </c>
      <c r="N593" s="1" t="str">
        <f t="shared" si="39"/>
        <v>Fabless</v>
      </c>
    </row>
    <row r="594" spans="1:14">
      <c r="A594" s="8">
        <v>2023</v>
      </c>
      <c r="B594" s="8" t="s">
        <v>201</v>
      </c>
      <c r="C594" s="8" t="s">
        <v>202</v>
      </c>
      <c r="D594" s="8" t="s">
        <v>203</v>
      </c>
      <c r="E594" s="8" t="s">
        <v>200</v>
      </c>
      <c r="F594" s="8">
        <v>0.05</v>
      </c>
      <c r="G594" s="8">
        <v>5.9</v>
      </c>
      <c r="H594" s="8">
        <v>0</v>
      </c>
      <c r="I594" s="8">
        <v>0.02</v>
      </c>
      <c r="J594" s="8">
        <v>0</v>
      </c>
      <c r="K594" s="2" t="str">
        <f t="shared" si="36"/>
        <v>Actual</v>
      </c>
      <c r="L594" s="1">
        <f t="shared" si="37"/>
        <v>40</v>
      </c>
      <c r="M594" s="1">
        <f t="shared" si="38"/>
        <v>0</v>
      </c>
      <c r="N594" s="1" t="str">
        <f t="shared" si="39"/>
        <v>Fabless</v>
      </c>
    </row>
    <row r="595" spans="1:14">
      <c r="A595" s="8">
        <v>2024</v>
      </c>
      <c r="B595" s="8" t="s">
        <v>201</v>
      </c>
      <c r="C595" s="8" t="s">
        <v>202</v>
      </c>
      <c r="D595" s="8" t="s">
        <v>203</v>
      </c>
      <c r="E595" s="8" t="s">
        <v>200</v>
      </c>
      <c r="F595" s="8">
        <v>0.05</v>
      </c>
      <c r="G595" s="8">
        <v>11.1</v>
      </c>
      <c r="H595" s="8">
        <v>0.01</v>
      </c>
      <c r="I595" s="8">
        <v>0.02</v>
      </c>
      <c r="J595" s="8">
        <v>0</v>
      </c>
      <c r="K595" s="2" t="str">
        <f t="shared" si="36"/>
        <v>Actual</v>
      </c>
      <c r="L595" s="1">
        <f t="shared" si="37"/>
        <v>40</v>
      </c>
      <c r="M595" s="1">
        <f t="shared" si="38"/>
        <v>0</v>
      </c>
      <c r="N595" s="1" t="str">
        <f t="shared" si="39"/>
        <v>Fabless</v>
      </c>
    </row>
    <row r="596" spans="1:14">
      <c r="A596" s="8">
        <v>2025</v>
      </c>
      <c r="B596" s="8" t="s">
        <v>201</v>
      </c>
      <c r="C596" s="8" t="s">
        <v>202</v>
      </c>
      <c r="D596" s="8" t="s">
        <v>203</v>
      </c>
      <c r="E596" s="8" t="s">
        <v>200</v>
      </c>
      <c r="F596" s="8">
        <v>0.06</v>
      </c>
      <c r="G596" s="8">
        <v>9.6</v>
      </c>
      <c r="H596" s="8">
        <v>0.01</v>
      </c>
      <c r="I596" s="8">
        <v>0.03</v>
      </c>
      <c r="J596" s="8">
        <v>0</v>
      </c>
      <c r="K596" s="2" t="str">
        <f t="shared" si="36"/>
        <v>Forecast</v>
      </c>
      <c r="L596" s="1">
        <f t="shared" si="37"/>
        <v>50</v>
      </c>
      <c r="M596" s="1">
        <f t="shared" si="38"/>
        <v>0</v>
      </c>
      <c r="N596" s="1" t="str">
        <f t="shared" si="39"/>
        <v>Fabless</v>
      </c>
    </row>
    <row r="597" spans="1:14">
      <c r="A597" s="8">
        <v>2026</v>
      </c>
      <c r="B597" s="8" t="s">
        <v>201</v>
      </c>
      <c r="C597" s="8" t="s">
        <v>202</v>
      </c>
      <c r="D597" s="8" t="s">
        <v>203</v>
      </c>
      <c r="E597" s="8" t="s">
        <v>200</v>
      </c>
      <c r="F597" s="8">
        <v>7.0000000000000007E-2</v>
      </c>
      <c r="G597" s="8">
        <v>13</v>
      </c>
      <c r="H597" s="8">
        <v>0.01</v>
      </c>
      <c r="I597" s="8">
        <v>0.04</v>
      </c>
      <c r="J597" s="8">
        <v>0</v>
      </c>
      <c r="K597" s="2" t="str">
        <f t="shared" si="36"/>
        <v>Forecast</v>
      </c>
      <c r="L597" s="1">
        <f t="shared" si="37"/>
        <v>57.142857142857103</v>
      </c>
      <c r="M597" s="1">
        <f t="shared" si="38"/>
        <v>0</v>
      </c>
      <c r="N597" s="1" t="str">
        <f t="shared" si="39"/>
        <v>Fabless</v>
      </c>
    </row>
    <row r="598" spans="1:14">
      <c r="A598" s="8">
        <v>2020</v>
      </c>
      <c r="B598" s="8" t="s">
        <v>76</v>
      </c>
      <c r="C598" s="8" t="s">
        <v>204</v>
      </c>
      <c r="D598" s="8" t="s">
        <v>121</v>
      </c>
      <c r="E598" s="8" t="s">
        <v>200</v>
      </c>
      <c r="F598" s="8">
        <v>0</v>
      </c>
      <c r="G598" s="8">
        <v>12.3</v>
      </c>
      <c r="H598" s="8">
        <v>0</v>
      </c>
      <c r="I598" s="8">
        <v>0</v>
      </c>
      <c r="J598" s="8">
        <v>0</v>
      </c>
      <c r="K598" s="2" t="str">
        <f t="shared" si="36"/>
        <v>Actual</v>
      </c>
      <c r="L598" s="1">
        <f t="shared" si="37"/>
        <v>0</v>
      </c>
      <c r="M598" s="1">
        <f t="shared" si="38"/>
        <v>0</v>
      </c>
      <c r="N598" s="1" t="str">
        <f t="shared" si="39"/>
        <v>Fabless</v>
      </c>
    </row>
    <row r="599" spans="1:14">
      <c r="A599" s="8">
        <v>2021</v>
      </c>
      <c r="B599" s="8" t="s">
        <v>76</v>
      </c>
      <c r="C599" s="8" t="s">
        <v>204</v>
      </c>
      <c r="D599" s="8" t="s">
        <v>121</v>
      </c>
      <c r="E599" s="8" t="s">
        <v>200</v>
      </c>
      <c r="F599" s="8">
        <v>0</v>
      </c>
      <c r="G599" s="8">
        <v>15.9</v>
      </c>
      <c r="H599" s="8">
        <v>0</v>
      </c>
      <c r="I599" s="8">
        <v>0</v>
      </c>
      <c r="J599" s="8">
        <v>0</v>
      </c>
      <c r="K599" s="2" t="str">
        <f t="shared" si="36"/>
        <v>Actual</v>
      </c>
      <c r="L599" s="1">
        <f t="shared" si="37"/>
        <v>0</v>
      </c>
      <c r="M599" s="1">
        <f t="shared" si="38"/>
        <v>0</v>
      </c>
      <c r="N599" s="1" t="str">
        <f t="shared" si="39"/>
        <v>Fabless</v>
      </c>
    </row>
    <row r="600" spans="1:14">
      <c r="A600" s="8">
        <v>2022</v>
      </c>
      <c r="B600" s="8" t="s">
        <v>76</v>
      </c>
      <c r="C600" s="8" t="s">
        <v>204</v>
      </c>
      <c r="D600" s="8" t="s">
        <v>121</v>
      </c>
      <c r="E600" s="8" t="s">
        <v>200</v>
      </c>
      <c r="F600" s="8">
        <v>0.02</v>
      </c>
      <c r="G600" s="8">
        <v>7.2</v>
      </c>
      <c r="H600" s="8">
        <v>0</v>
      </c>
      <c r="I600" s="8">
        <v>0.01</v>
      </c>
      <c r="J600" s="8">
        <v>0</v>
      </c>
      <c r="K600" s="2" t="str">
        <f t="shared" si="36"/>
        <v>Actual</v>
      </c>
      <c r="L600" s="1">
        <f t="shared" si="37"/>
        <v>50</v>
      </c>
      <c r="M600" s="1">
        <f t="shared" si="38"/>
        <v>0</v>
      </c>
      <c r="N600" s="1" t="str">
        <f t="shared" si="39"/>
        <v>Fabless</v>
      </c>
    </row>
    <row r="601" spans="1:14">
      <c r="A601" s="8">
        <v>2023</v>
      </c>
      <c r="B601" s="8" t="s">
        <v>76</v>
      </c>
      <c r="C601" s="8" t="s">
        <v>204</v>
      </c>
      <c r="D601" s="8" t="s">
        <v>121</v>
      </c>
      <c r="E601" s="8" t="s">
        <v>200</v>
      </c>
      <c r="F601" s="8">
        <v>0.04</v>
      </c>
      <c r="G601" s="8">
        <v>6.8</v>
      </c>
      <c r="H601" s="8">
        <v>0</v>
      </c>
      <c r="I601" s="8">
        <v>0.02</v>
      </c>
      <c r="J601" s="8">
        <v>0</v>
      </c>
      <c r="K601" s="2" t="str">
        <f t="shared" si="36"/>
        <v>Actual</v>
      </c>
      <c r="L601" s="1">
        <f t="shared" si="37"/>
        <v>50</v>
      </c>
      <c r="M601" s="1">
        <f t="shared" si="38"/>
        <v>0</v>
      </c>
      <c r="N601" s="1" t="str">
        <f t="shared" si="39"/>
        <v>Fabless</v>
      </c>
    </row>
    <row r="602" spans="1:14">
      <c r="A602" s="8">
        <v>2024</v>
      </c>
      <c r="B602" s="8" t="s">
        <v>76</v>
      </c>
      <c r="C602" s="8" t="s">
        <v>204</v>
      </c>
      <c r="D602" s="8" t="s">
        <v>121</v>
      </c>
      <c r="E602" s="8" t="s">
        <v>200</v>
      </c>
      <c r="F602" s="8">
        <v>0.48</v>
      </c>
      <c r="G602" s="8">
        <v>8.5</v>
      </c>
      <c r="H602" s="8">
        <v>0.04</v>
      </c>
      <c r="I602" s="8">
        <v>0.24</v>
      </c>
      <c r="J602" s="8">
        <v>0</v>
      </c>
      <c r="K602" s="2" t="str">
        <f t="shared" si="36"/>
        <v>Actual</v>
      </c>
      <c r="L602" s="1">
        <f t="shared" si="37"/>
        <v>50</v>
      </c>
      <c r="M602" s="1">
        <f t="shared" si="38"/>
        <v>0</v>
      </c>
      <c r="N602" s="1" t="str">
        <f t="shared" si="39"/>
        <v>Fabless</v>
      </c>
    </row>
    <row r="603" spans="1:14">
      <c r="A603" s="8">
        <v>2025</v>
      </c>
      <c r="B603" s="8" t="s">
        <v>76</v>
      </c>
      <c r="C603" s="8" t="s">
        <v>204</v>
      </c>
      <c r="D603" s="8" t="s">
        <v>121</v>
      </c>
      <c r="E603" s="8" t="s">
        <v>200</v>
      </c>
      <c r="F603" s="8">
        <v>1.27</v>
      </c>
      <c r="G603" s="8">
        <v>9.6999999999999993</v>
      </c>
      <c r="H603" s="8">
        <v>0.12</v>
      </c>
      <c r="I603" s="8">
        <v>0.63</v>
      </c>
      <c r="J603" s="8">
        <v>0.01</v>
      </c>
      <c r="K603" s="2" t="str">
        <f t="shared" si="36"/>
        <v>Forecast</v>
      </c>
      <c r="L603" s="1">
        <f t="shared" si="37"/>
        <v>49.606299212598401</v>
      </c>
      <c r="M603" s="1">
        <f t="shared" si="38"/>
        <v>0.78740157480314998</v>
      </c>
      <c r="N603" s="1" t="str">
        <f t="shared" si="39"/>
        <v>Fabless</v>
      </c>
    </row>
    <row r="604" spans="1:14">
      <c r="A604" s="8">
        <v>2026</v>
      </c>
      <c r="B604" s="8" t="s">
        <v>76</v>
      </c>
      <c r="C604" s="8" t="s">
        <v>204</v>
      </c>
      <c r="D604" s="8" t="s">
        <v>121</v>
      </c>
      <c r="E604" s="8" t="s">
        <v>200</v>
      </c>
      <c r="F604" s="8">
        <v>1.96</v>
      </c>
      <c r="G604" s="8">
        <v>8</v>
      </c>
      <c r="H604" s="8">
        <v>0.16</v>
      </c>
      <c r="I604" s="8">
        <v>0.98</v>
      </c>
      <c r="J604" s="8">
        <v>0.02</v>
      </c>
      <c r="K604" s="2" t="str">
        <f t="shared" si="36"/>
        <v>Forecast</v>
      </c>
      <c r="L604" s="1">
        <f t="shared" si="37"/>
        <v>50</v>
      </c>
      <c r="M604" s="1">
        <f t="shared" si="38"/>
        <v>1.0204081632653099</v>
      </c>
      <c r="N604" s="1" t="str">
        <f t="shared" si="39"/>
        <v>Fabless</v>
      </c>
    </row>
    <row r="605" spans="1:14">
      <c r="A605" s="8">
        <v>2020</v>
      </c>
      <c r="B605" s="8" t="s">
        <v>79</v>
      </c>
      <c r="C605" s="8" t="s">
        <v>205</v>
      </c>
      <c r="D605" s="8" t="s">
        <v>121</v>
      </c>
      <c r="E605" s="8" t="s">
        <v>200</v>
      </c>
      <c r="F605" s="8">
        <v>0</v>
      </c>
      <c r="G605" s="8">
        <v>7.4</v>
      </c>
      <c r="H605" s="8">
        <v>0</v>
      </c>
      <c r="I605" s="8">
        <v>0</v>
      </c>
      <c r="J605" s="8">
        <v>0</v>
      </c>
      <c r="K605" s="2" t="str">
        <f t="shared" si="36"/>
        <v>Actual</v>
      </c>
      <c r="L605" s="1">
        <f t="shared" si="37"/>
        <v>0</v>
      </c>
      <c r="M605" s="1">
        <f t="shared" si="38"/>
        <v>0</v>
      </c>
      <c r="N605" s="1" t="str">
        <f t="shared" si="39"/>
        <v>Fabless</v>
      </c>
    </row>
    <row r="606" spans="1:14">
      <c r="A606" s="8">
        <v>2021</v>
      </c>
      <c r="B606" s="8" t="s">
        <v>79</v>
      </c>
      <c r="C606" s="8" t="s">
        <v>205</v>
      </c>
      <c r="D606" s="8" t="s">
        <v>121</v>
      </c>
      <c r="E606" s="8" t="s">
        <v>200</v>
      </c>
      <c r="F606" s="8">
        <v>0.02</v>
      </c>
      <c r="G606" s="8">
        <v>10.9</v>
      </c>
      <c r="H606" s="8">
        <v>0</v>
      </c>
      <c r="I606" s="8">
        <v>0.01</v>
      </c>
      <c r="J606" s="8">
        <v>0</v>
      </c>
      <c r="K606" s="2" t="str">
        <f t="shared" si="36"/>
        <v>Actual</v>
      </c>
      <c r="L606" s="1">
        <f t="shared" si="37"/>
        <v>50</v>
      </c>
      <c r="M606" s="1">
        <f t="shared" si="38"/>
        <v>0</v>
      </c>
      <c r="N606" s="1" t="str">
        <f t="shared" si="39"/>
        <v>Fabless</v>
      </c>
    </row>
    <row r="607" spans="1:14">
      <c r="A607" s="8">
        <v>2022</v>
      </c>
      <c r="B607" s="8" t="s">
        <v>79</v>
      </c>
      <c r="C607" s="8" t="s">
        <v>205</v>
      </c>
      <c r="D607" s="8" t="s">
        <v>121</v>
      </c>
      <c r="E607" s="8" t="s">
        <v>200</v>
      </c>
      <c r="F607" s="8">
        <v>0.05</v>
      </c>
      <c r="G607" s="8">
        <v>8.5</v>
      </c>
      <c r="H607" s="8">
        <v>0</v>
      </c>
      <c r="I607" s="8">
        <v>0.03</v>
      </c>
      <c r="J607" s="8">
        <v>0</v>
      </c>
      <c r="K607" s="2" t="str">
        <f t="shared" si="36"/>
        <v>Actual</v>
      </c>
      <c r="L607" s="1">
        <f t="shared" si="37"/>
        <v>60</v>
      </c>
      <c r="M607" s="1">
        <f t="shared" si="38"/>
        <v>0</v>
      </c>
      <c r="N607" s="1" t="str">
        <f t="shared" si="39"/>
        <v>Fabless</v>
      </c>
    </row>
    <row r="608" spans="1:14">
      <c r="A608" s="8">
        <v>2023</v>
      </c>
      <c r="B608" s="8" t="s">
        <v>79</v>
      </c>
      <c r="C608" s="8" t="s">
        <v>205</v>
      </c>
      <c r="D608" s="8" t="s">
        <v>121</v>
      </c>
      <c r="E608" s="8" t="s">
        <v>200</v>
      </c>
      <c r="F608" s="8">
        <v>0.1</v>
      </c>
      <c r="G608" s="8">
        <v>7.9</v>
      </c>
      <c r="H608" s="8">
        <v>0.01</v>
      </c>
      <c r="I608" s="8">
        <v>0.05</v>
      </c>
      <c r="J608" s="8">
        <v>0</v>
      </c>
      <c r="K608" s="2" t="str">
        <f t="shared" si="36"/>
        <v>Actual</v>
      </c>
      <c r="L608" s="1">
        <f t="shared" si="37"/>
        <v>50</v>
      </c>
      <c r="M608" s="1">
        <f t="shared" si="38"/>
        <v>0</v>
      </c>
      <c r="N608" s="1" t="str">
        <f t="shared" si="39"/>
        <v>Fabless</v>
      </c>
    </row>
    <row r="609" spans="1:14">
      <c r="A609" s="8">
        <v>2024</v>
      </c>
      <c r="B609" s="8" t="s">
        <v>79</v>
      </c>
      <c r="C609" s="8" t="s">
        <v>205</v>
      </c>
      <c r="D609" s="8" t="s">
        <v>121</v>
      </c>
      <c r="E609" s="8" t="s">
        <v>200</v>
      </c>
      <c r="F609" s="8">
        <v>0.37</v>
      </c>
      <c r="G609" s="8">
        <v>5.9</v>
      </c>
      <c r="H609" s="8">
        <v>0.02</v>
      </c>
      <c r="I609" s="8">
        <v>0.18</v>
      </c>
      <c r="J609" s="8">
        <v>0</v>
      </c>
      <c r="K609" s="2" t="str">
        <f t="shared" si="36"/>
        <v>Actual</v>
      </c>
      <c r="L609" s="1">
        <f t="shared" si="37"/>
        <v>48.648648648648603</v>
      </c>
      <c r="M609" s="1">
        <f t="shared" si="38"/>
        <v>0</v>
      </c>
      <c r="N609" s="1" t="str">
        <f t="shared" si="39"/>
        <v>Fabless</v>
      </c>
    </row>
    <row r="610" spans="1:14">
      <c r="A610" s="8">
        <v>2025</v>
      </c>
      <c r="B610" s="8" t="s">
        <v>79</v>
      </c>
      <c r="C610" s="8" t="s">
        <v>205</v>
      </c>
      <c r="D610" s="8" t="s">
        <v>121</v>
      </c>
      <c r="E610" s="8" t="s">
        <v>200</v>
      </c>
      <c r="F610" s="8">
        <v>0.9</v>
      </c>
      <c r="G610" s="8">
        <v>3.3</v>
      </c>
      <c r="H610" s="8">
        <v>0.03</v>
      </c>
      <c r="I610" s="8">
        <v>0.45</v>
      </c>
      <c r="J610" s="8">
        <v>0.01</v>
      </c>
      <c r="K610" s="2" t="str">
        <f t="shared" si="36"/>
        <v>Forecast</v>
      </c>
      <c r="L610" s="1">
        <f t="shared" si="37"/>
        <v>50</v>
      </c>
      <c r="M610" s="1">
        <f t="shared" si="38"/>
        <v>1.1111111111111101</v>
      </c>
      <c r="N610" s="1" t="str">
        <f t="shared" si="39"/>
        <v>Fabless</v>
      </c>
    </row>
    <row r="611" spans="1:14">
      <c r="A611" s="8">
        <v>2026</v>
      </c>
      <c r="B611" s="8" t="s">
        <v>79</v>
      </c>
      <c r="C611" s="8" t="s">
        <v>205</v>
      </c>
      <c r="D611" s="8" t="s">
        <v>121</v>
      </c>
      <c r="E611" s="8" t="s">
        <v>200</v>
      </c>
      <c r="F611" s="8">
        <v>1.45</v>
      </c>
      <c r="G611" s="8">
        <v>14</v>
      </c>
      <c r="H611" s="8">
        <v>0.2</v>
      </c>
      <c r="I611" s="8">
        <v>0.72</v>
      </c>
      <c r="J611" s="8">
        <v>0.01</v>
      </c>
      <c r="K611" s="2" t="str">
        <f t="shared" si="36"/>
        <v>Forecast</v>
      </c>
      <c r="L611" s="1">
        <f t="shared" si="37"/>
        <v>49.655172413793103</v>
      </c>
      <c r="M611" s="1">
        <f t="shared" si="38"/>
        <v>0.68965517241379304</v>
      </c>
      <c r="N611" s="1" t="str">
        <f t="shared" si="39"/>
        <v>Fabless</v>
      </c>
    </row>
    <row r="612" spans="1:14">
      <c r="A612" s="8">
        <v>2020</v>
      </c>
      <c r="B612" s="8" t="s">
        <v>82</v>
      </c>
      <c r="C612" s="8" t="s">
        <v>206</v>
      </c>
      <c r="D612" s="8" t="s">
        <v>121</v>
      </c>
      <c r="E612" s="8" t="s">
        <v>200</v>
      </c>
      <c r="F612" s="8">
        <v>0</v>
      </c>
      <c r="G612" s="8">
        <v>13.9</v>
      </c>
      <c r="H612" s="8">
        <v>0</v>
      </c>
      <c r="I612" s="8">
        <v>0</v>
      </c>
      <c r="J612" s="8">
        <v>0</v>
      </c>
      <c r="K612" s="2" t="str">
        <f t="shared" si="36"/>
        <v>Actual</v>
      </c>
      <c r="L612" s="1">
        <f t="shared" si="37"/>
        <v>0</v>
      </c>
      <c r="M612" s="1">
        <f t="shared" si="38"/>
        <v>0</v>
      </c>
      <c r="N612" s="1" t="str">
        <f t="shared" si="39"/>
        <v>Fabless</v>
      </c>
    </row>
    <row r="613" spans="1:14">
      <c r="A613" s="8">
        <v>2021</v>
      </c>
      <c r="B613" s="8" t="s">
        <v>82</v>
      </c>
      <c r="C613" s="8" t="s">
        <v>206</v>
      </c>
      <c r="D613" s="8" t="s">
        <v>121</v>
      </c>
      <c r="E613" s="8" t="s">
        <v>200</v>
      </c>
      <c r="F613" s="8">
        <v>0.01</v>
      </c>
      <c r="G613" s="8">
        <v>12.3</v>
      </c>
      <c r="H613" s="8">
        <v>0</v>
      </c>
      <c r="I613" s="8">
        <v>0.01</v>
      </c>
      <c r="J613" s="8">
        <v>0</v>
      </c>
      <c r="K613" s="2" t="str">
        <f t="shared" si="36"/>
        <v>Actual</v>
      </c>
      <c r="L613" s="1">
        <f t="shared" si="37"/>
        <v>100</v>
      </c>
      <c r="M613" s="1">
        <f t="shared" si="38"/>
        <v>0</v>
      </c>
      <c r="N613" s="1" t="str">
        <f t="shared" si="39"/>
        <v>Fabless</v>
      </c>
    </row>
    <row r="614" spans="1:14">
      <c r="A614" s="8">
        <v>2022</v>
      </c>
      <c r="B614" s="8" t="s">
        <v>82</v>
      </c>
      <c r="C614" s="8" t="s">
        <v>206</v>
      </c>
      <c r="D614" s="8" t="s">
        <v>121</v>
      </c>
      <c r="E614" s="8" t="s">
        <v>200</v>
      </c>
      <c r="F614" s="8">
        <v>0.05</v>
      </c>
      <c r="G614" s="8">
        <v>11.6</v>
      </c>
      <c r="H614" s="8">
        <v>0.01</v>
      </c>
      <c r="I614" s="8">
        <v>0.02</v>
      </c>
      <c r="J614" s="8">
        <v>0</v>
      </c>
      <c r="K614" s="2" t="str">
        <f t="shared" si="36"/>
        <v>Actual</v>
      </c>
      <c r="L614" s="1">
        <f t="shared" si="37"/>
        <v>40</v>
      </c>
      <c r="M614" s="1">
        <f t="shared" si="38"/>
        <v>0</v>
      </c>
      <c r="N614" s="1" t="str">
        <f t="shared" si="39"/>
        <v>Fabless</v>
      </c>
    </row>
    <row r="615" spans="1:14">
      <c r="A615" s="8">
        <v>2023</v>
      </c>
      <c r="B615" s="8" t="s">
        <v>82</v>
      </c>
      <c r="C615" s="8" t="s">
        <v>206</v>
      </c>
      <c r="D615" s="8" t="s">
        <v>121</v>
      </c>
      <c r="E615" s="8" t="s">
        <v>200</v>
      </c>
      <c r="F615" s="8">
        <v>0.1</v>
      </c>
      <c r="G615" s="8">
        <v>8.3000000000000007</v>
      </c>
      <c r="H615" s="8">
        <v>0.01</v>
      </c>
      <c r="I615" s="8">
        <v>0.05</v>
      </c>
      <c r="J615" s="8">
        <v>0</v>
      </c>
      <c r="K615" s="2" t="str">
        <f t="shared" si="36"/>
        <v>Actual</v>
      </c>
      <c r="L615" s="1">
        <f t="shared" si="37"/>
        <v>50</v>
      </c>
      <c r="M615" s="1">
        <f t="shared" si="38"/>
        <v>0</v>
      </c>
      <c r="N615" s="1" t="str">
        <f t="shared" si="39"/>
        <v>Fabless</v>
      </c>
    </row>
    <row r="616" spans="1:14">
      <c r="A616" s="8">
        <v>2024</v>
      </c>
      <c r="B616" s="8" t="s">
        <v>82</v>
      </c>
      <c r="C616" s="8" t="s">
        <v>206</v>
      </c>
      <c r="D616" s="8" t="s">
        <v>121</v>
      </c>
      <c r="E616" s="8" t="s">
        <v>200</v>
      </c>
      <c r="F616" s="8">
        <v>0.31</v>
      </c>
      <c r="G616" s="8">
        <v>11.7</v>
      </c>
      <c r="H616" s="8">
        <v>0.04</v>
      </c>
      <c r="I616" s="8">
        <v>0.15</v>
      </c>
      <c r="J616" s="8">
        <v>0</v>
      </c>
      <c r="K616" s="2" t="str">
        <f t="shared" si="36"/>
        <v>Actual</v>
      </c>
      <c r="L616" s="1">
        <f t="shared" si="37"/>
        <v>48.387096774193502</v>
      </c>
      <c r="M616" s="1">
        <f t="shared" si="38"/>
        <v>0</v>
      </c>
      <c r="N616" s="1" t="str">
        <f t="shared" si="39"/>
        <v>Fabless</v>
      </c>
    </row>
    <row r="617" spans="1:14">
      <c r="A617" s="8">
        <v>2025</v>
      </c>
      <c r="B617" s="8" t="s">
        <v>82</v>
      </c>
      <c r="C617" s="8" t="s">
        <v>206</v>
      </c>
      <c r="D617" s="8" t="s">
        <v>121</v>
      </c>
      <c r="E617" s="8" t="s">
        <v>200</v>
      </c>
      <c r="F617" s="8">
        <v>0.74</v>
      </c>
      <c r="G617" s="8">
        <v>6.6</v>
      </c>
      <c r="H617" s="8">
        <v>0.05</v>
      </c>
      <c r="I617" s="8">
        <v>0.37</v>
      </c>
      <c r="J617" s="8">
        <v>0.01</v>
      </c>
      <c r="K617" s="2" t="str">
        <f t="shared" si="36"/>
        <v>Forecast</v>
      </c>
      <c r="L617" s="1">
        <f t="shared" si="37"/>
        <v>50</v>
      </c>
      <c r="M617" s="1">
        <f t="shared" si="38"/>
        <v>1.35135135135135</v>
      </c>
      <c r="N617" s="1" t="str">
        <f t="shared" si="39"/>
        <v>Fabless</v>
      </c>
    </row>
    <row r="618" spans="1:14">
      <c r="A618" s="8">
        <v>2026</v>
      </c>
      <c r="B618" s="8" t="s">
        <v>82</v>
      </c>
      <c r="C618" s="8" t="s">
        <v>206</v>
      </c>
      <c r="D618" s="8" t="s">
        <v>121</v>
      </c>
      <c r="E618" s="8" t="s">
        <v>200</v>
      </c>
      <c r="F618" s="8">
        <v>1.1599999999999999</v>
      </c>
      <c r="G618" s="8">
        <v>10.3</v>
      </c>
      <c r="H618" s="8">
        <v>0.12</v>
      </c>
      <c r="I618" s="8">
        <v>0.57999999999999996</v>
      </c>
      <c r="J618" s="8">
        <v>0.01</v>
      </c>
      <c r="K618" s="2" t="str">
        <f t="shared" si="36"/>
        <v>Forecast</v>
      </c>
      <c r="L618" s="1">
        <f t="shared" si="37"/>
        <v>50</v>
      </c>
      <c r="M618" s="1">
        <f t="shared" si="38"/>
        <v>0.86206896551724199</v>
      </c>
      <c r="N618" s="1" t="str">
        <f t="shared" si="39"/>
        <v>Fabless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406"/>
  <sheetViews>
    <sheetView workbookViewId="0">
      <selection activeCell="E9" sqref="E9"/>
    </sheetView>
  </sheetViews>
  <sheetFormatPr defaultColWidth="8.88671875" defaultRowHeight="14.4"/>
  <cols>
    <col min="1" max="1" width="12.44140625" style="8" customWidth="1"/>
    <col min="2" max="2" width="12.88671875" style="8" customWidth="1"/>
    <col min="3" max="6" width="10" style="8"/>
    <col min="7" max="7" width="16.6640625" style="1" customWidth="1"/>
  </cols>
  <sheetData>
    <row r="1" spans="1:7">
      <c r="A1" s="6" t="s">
        <v>207</v>
      </c>
      <c r="B1" s="6" t="s">
        <v>15</v>
      </c>
      <c r="C1" s="6" t="s">
        <v>208</v>
      </c>
      <c r="D1" s="6" t="s">
        <v>209</v>
      </c>
      <c r="E1" s="6" t="s">
        <v>210</v>
      </c>
      <c r="F1" s="6" t="s">
        <v>211</v>
      </c>
      <c r="G1" s="7" t="s">
        <v>212</v>
      </c>
    </row>
    <row r="2" spans="1:7">
      <c r="A2" s="8" t="s">
        <v>213</v>
      </c>
      <c r="B2" s="8">
        <v>2014</v>
      </c>
      <c r="C2" s="8" t="s">
        <v>214</v>
      </c>
      <c r="D2" s="8" t="s">
        <v>215</v>
      </c>
      <c r="E2" s="8" t="s">
        <v>216</v>
      </c>
      <c r="F2" s="10">
        <v>4.3600000000000003</v>
      </c>
      <c r="G2" s="1" t="str">
        <f>IF(LEFT(C2,4)="DRAM","Memory - DRAM",IF(LEFT(C2,4)="NAND","Memory - NAND",IF(LEFT(C2,3)="HBM","Memory - HBM","GPU")))</f>
        <v>Memory - DRAM</v>
      </c>
    </row>
    <row r="3" spans="1:7">
      <c r="A3" s="8" t="s">
        <v>217</v>
      </c>
      <c r="B3" s="8">
        <v>2014</v>
      </c>
      <c r="C3" s="8" t="s">
        <v>214</v>
      </c>
      <c r="D3" s="8" t="s">
        <v>215</v>
      </c>
      <c r="E3" s="8" t="s">
        <v>216</v>
      </c>
      <c r="F3" s="10">
        <v>4.5</v>
      </c>
      <c r="G3" s="1" t="str">
        <f t="shared" ref="G3:G66" si="0">IF(LEFT(C3,4)="DRAM","Memory - DRAM",IF(LEFT(C3,4)="NAND","Memory - NAND",IF(LEFT(C3,3)="HBM","Memory - HBM","GPU")))</f>
        <v>Memory - DRAM</v>
      </c>
    </row>
    <row r="4" spans="1:7">
      <c r="A4" s="8" t="s">
        <v>218</v>
      </c>
      <c r="B4" s="8">
        <v>2014</v>
      </c>
      <c r="C4" s="8" t="s">
        <v>214</v>
      </c>
      <c r="D4" s="8" t="s">
        <v>215</v>
      </c>
      <c r="E4" s="8" t="s">
        <v>216</v>
      </c>
      <c r="F4" s="10">
        <v>4.3899999999999997</v>
      </c>
      <c r="G4" s="1" t="str">
        <f t="shared" si="0"/>
        <v>Memory - DRAM</v>
      </c>
    </row>
    <row r="5" spans="1:7">
      <c r="A5" s="8" t="s">
        <v>219</v>
      </c>
      <c r="B5" s="8">
        <v>2014</v>
      </c>
      <c r="C5" s="8" t="s">
        <v>214</v>
      </c>
      <c r="D5" s="8" t="s">
        <v>215</v>
      </c>
      <c r="E5" s="8" t="s">
        <v>216</v>
      </c>
      <c r="F5" s="10">
        <v>3.97</v>
      </c>
      <c r="G5" s="1" t="str">
        <f t="shared" si="0"/>
        <v>Memory - DRAM</v>
      </c>
    </row>
    <row r="6" spans="1:7">
      <c r="A6" s="8" t="s">
        <v>220</v>
      </c>
      <c r="B6" s="8">
        <v>2014</v>
      </c>
      <c r="C6" s="8" t="s">
        <v>214</v>
      </c>
      <c r="D6" s="8" t="s">
        <v>215</v>
      </c>
      <c r="E6" s="8" t="s">
        <v>216</v>
      </c>
      <c r="F6" s="10">
        <v>4.0199999999999996</v>
      </c>
      <c r="G6" s="1" t="str">
        <f t="shared" si="0"/>
        <v>Memory - DRAM</v>
      </c>
    </row>
    <row r="7" spans="1:7">
      <c r="A7" s="8" t="s">
        <v>221</v>
      </c>
      <c r="B7" s="8">
        <v>2014</v>
      </c>
      <c r="C7" s="8" t="s">
        <v>214</v>
      </c>
      <c r="D7" s="8" t="s">
        <v>215</v>
      </c>
      <c r="E7" s="8" t="s">
        <v>216</v>
      </c>
      <c r="F7" s="10">
        <v>3.95</v>
      </c>
      <c r="G7" s="1" t="str">
        <f t="shared" si="0"/>
        <v>Memory - DRAM</v>
      </c>
    </row>
    <row r="8" spans="1:7">
      <c r="A8" s="8" t="s">
        <v>222</v>
      </c>
      <c r="B8" s="8">
        <v>2014</v>
      </c>
      <c r="C8" s="8" t="s">
        <v>214</v>
      </c>
      <c r="D8" s="8" t="s">
        <v>215</v>
      </c>
      <c r="E8" s="8" t="s">
        <v>216</v>
      </c>
      <c r="F8" s="10">
        <v>3.9</v>
      </c>
      <c r="G8" s="1" t="str">
        <f t="shared" si="0"/>
        <v>Memory - DRAM</v>
      </c>
    </row>
    <row r="9" spans="1:7">
      <c r="A9" s="8" t="s">
        <v>223</v>
      </c>
      <c r="B9" s="8">
        <v>2014</v>
      </c>
      <c r="C9" s="8" t="s">
        <v>214</v>
      </c>
      <c r="D9" s="8" t="s">
        <v>215</v>
      </c>
      <c r="E9" s="8" t="s">
        <v>216</v>
      </c>
      <c r="F9" s="10">
        <v>3.65</v>
      </c>
      <c r="G9" s="1" t="str">
        <f t="shared" si="0"/>
        <v>Memory - DRAM</v>
      </c>
    </row>
    <row r="10" spans="1:7">
      <c r="A10" s="8" t="s">
        <v>224</v>
      </c>
      <c r="B10" s="8">
        <v>2014</v>
      </c>
      <c r="C10" s="8" t="s">
        <v>214</v>
      </c>
      <c r="D10" s="8" t="s">
        <v>215</v>
      </c>
      <c r="E10" s="8" t="s">
        <v>216</v>
      </c>
      <c r="F10" s="10">
        <v>3.67</v>
      </c>
      <c r="G10" s="1" t="str">
        <f t="shared" si="0"/>
        <v>Memory - DRAM</v>
      </c>
    </row>
    <row r="11" spans="1:7">
      <c r="A11" s="8" t="s">
        <v>225</v>
      </c>
      <c r="B11" s="8">
        <v>2014</v>
      </c>
      <c r="C11" s="8" t="s">
        <v>214</v>
      </c>
      <c r="D11" s="8" t="s">
        <v>215</v>
      </c>
      <c r="E11" s="8" t="s">
        <v>216</v>
      </c>
      <c r="F11" s="10">
        <v>3.57</v>
      </c>
      <c r="G11" s="1" t="str">
        <f t="shared" si="0"/>
        <v>Memory - DRAM</v>
      </c>
    </row>
    <row r="12" spans="1:7">
      <c r="A12" s="8" t="s">
        <v>226</v>
      </c>
      <c r="B12" s="8">
        <v>2014</v>
      </c>
      <c r="C12" s="8" t="s">
        <v>214</v>
      </c>
      <c r="D12" s="8" t="s">
        <v>215</v>
      </c>
      <c r="E12" s="8" t="s">
        <v>216</v>
      </c>
      <c r="F12" s="10">
        <v>3.7</v>
      </c>
      <c r="G12" s="1" t="str">
        <f t="shared" si="0"/>
        <v>Memory - DRAM</v>
      </c>
    </row>
    <row r="13" spans="1:7">
      <c r="A13" s="8" t="s">
        <v>227</v>
      </c>
      <c r="B13" s="8">
        <v>2014</v>
      </c>
      <c r="C13" s="8" t="s">
        <v>214</v>
      </c>
      <c r="D13" s="8" t="s">
        <v>215</v>
      </c>
      <c r="E13" s="8" t="s">
        <v>216</v>
      </c>
      <c r="F13" s="10">
        <v>3.61</v>
      </c>
      <c r="G13" s="1" t="str">
        <f t="shared" si="0"/>
        <v>Memory - DRAM</v>
      </c>
    </row>
    <row r="14" spans="1:7">
      <c r="A14" s="8" t="s">
        <v>228</v>
      </c>
      <c r="B14" s="8">
        <v>2015</v>
      </c>
      <c r="C14" s="8" t="s">
        <v>214</v>
      </c>
      <c r="D14" s="8" t="s">
        <v>215</v>
      </c>
      <c r="E14" s="8" t="s">
        <v>216</v>
      </c>
      <c r="F14" s="10">
        <v>3.38</v>
      </c>
      <c r="G14" s="1" t="str">
        <f t="shared" si="0"/>
        <v>Memory - DRAM</v>
      </c>
    </row>
    <row r="15" spans="1:7">
      <c r="A15" s="8" t="s">
        <v>229</v>
      </c>
      <c r="B15" s="8">
        <v>2015</v>
      </c>
      <c r="C15" s="8" t="s">
        <v>214</v>
      </c>
      <c r="D15" s="8" t="s">
        <v>215</v>
      </c>
      <c r="E15" s="8" t="s">
        <v>216</v>
      </c>
      <c r="F15" s="10">
        <v>3.28</v>
      </c>
      <c r="G15" s="1" t="str">
        <f t="shared" si="0"/>
        <v>Memory - DRAM</v>
      </c>
    </row>
    <row r="16" spans="1:7">
      <c r="A16" s="8" t="s">
        <v>230</v>
      </c>
      <c r="B16" s="8">
        <v>2015</v>
      </c>
      <c r="C16" s="8" t="s">
        <v>214</v>
      </c>
      <c r="D16" s="8" t="s">
        <v>215</v>
      </c>
      <c r="E16" s="8" t="s">
        <v>216</v>
      </c>
      <c r="F16" s="10">
        <v>3.29</v>
      </c>
      <c r="G16" s="1" t="str">
        <f t="shared" si="0"/>
        <v>Memory - DRAM</v>
      </c>
    </row>
    <row r="17" spans="1:7">
      <c r="A17" s="8" t="s">
        <v>231</v>
      </c>
      <c r="B17" s="8">
        <v>2015</v>
      </c>
      <c r="C17" s="8" t="s">
        <v>214</v>
      </c>
      <c r="D17" s="8" t="s">
        <v>215</v>
      </c>
      <c r="E17" s="8" t="s">
        <v>216</v>
      </c>
      <c r="F17" s="10">
        <v>3.1</v>
      </c>
      <c r="G17" s="1" t="str">
        <f t="shared" si="0"/>
        <v>Memory - DRAM</v>
      </c>
    </row>
    <row r="18" spans="1:7">
      <c r="A18" s="8" t="s">
        <v>232</v>
      </c>
      <c r="B18" s="8">
        <v>2015</v>
      </c>
      <c r="C18" s="8" t="s">
        <v>214</v>
      </c>
      <c r="D18" s="8" t="s">
        <v>215</v>
      </c>
      <c r="E18" s="8" t="s">
        <v>216</v>
      </c>
      <c r="F18" s="10">
        <v>3</v>
      </c>
      <c r="G18" s="1" t="str">
        <f t="shared" si="0"/>
        <v>Memory - DRAM</v>
      </c>
    </row>
    <row r="19" spans="1:7">
      <c r="A19" s="8" t="s">
        <v>233</v>
      </c>
      <c r="B19" s="8">
        <v>2015</v>
      </c>
      <c r="C19" s="8" t="s">
        <v>214</v>
      </c>
      <c r="D19" s="8" t="s">
        <v>215</v>
      </c>
      <c r="E19" s="8" t="s">
        <v>216</v>
      </c>
      <c r="F19" s="10">
        <v>2.96</v>
      </c>
      <c r="G19" s="1" t="str">
        <f t="shared" si="0"/>
        <v>Memory - DRAM</v>
      </c>
    </row>
    <row r="20" spans="1:7">
      <c r="A20" s="8" t="s">
        <v>234</v>
      </c>
      <c r="B20" s="8">
        <v>2015</v>
      </c>
      <c r="C20" s="8" t="s">
        <v>214</v>
      </c>
      <c r="D20" s="8" t="s">
        <v>215</v>
      </c>
      <c r="E20" s="8" t="s">
        <v>216</v>
      </c>
      <c r="F20" s="10">
        <v>2.93</v>
      </c>
      <c r="G20" s="1" t="str">
        <f t="shared" si="0"/>
        <v>Memory - DRAM</v>
      </c>
    </row>
    <row r="21" spans="1:7">
      <c r="A21" s="8" t="s">
        <v>235</v>
      </c>
      <c r="B21" s="8">
        <v>2015</v>
      </c>
      <c r="C21" s="8" t="s">
        <v>214</v>
      </c>
      <c r="D21" s="8" t="s">
        <v>215</v>
      </c>
      <c r="E21" s="8" t="s">
        <v>216</v>
      </c>
      <c r="F21" s="10">
        <v>2.8</v>
      </c>
      <c r="G21" s="1" t="str">
        <f t="shared" si="0"/>
        <v>Memory - DRAM</v>
      </c>
    </row>
    <row r="22" spans="1:7">
      <c r="A22" s="8" t="s">
        <v>236</v>
      </c>
      <c r="B22" s="8">
        <v>2015</v>
      </c>
      <c r="C22" s="8" t="s">
        <v>214</v>
      </c>
      <c r="D22" s="8" t="s">
        <v>215</v>
      </c>
      <c r="E22" s="8" t="s">
        <v>216</v>
      </c>
      <c r="F22" s="10">
        <v>2.89</v>
      </c>
      <c r="G22" s="1" t="str">
        <f t="shared" si="0"/>
        <v>Memory - DRAM</v>
      </c>
    </row>
    <row r="23" spans="1:7">
      <c r="A23" s="8" t="s">
        <v>237</v>
      </c>
      <c r="B23" s="8">
        <v>2015</v>
      </c>
      <c r="C23" s="8" t="s">
        <v>214</v>
      </c>
      <c r="D23" s="8" t="s">
        <v>215</v>
      </c>
      <c r="E23" s="8" t="s">
        <v>216</v>
      </c>
      <c r="F23" s="10">
        <v>2.88</v>
      </c>
      <c r="G23" s="1" t="str">
        <f t="shared" si="0"/>
        <v>Memory - DRAM</v>
      </c>
    </row>
    <row r="24" spans="1:7">
      <c r="A24" s="8" t="s">
        <v>238</v>
      </c>
      <c r="B24" s="8">
        <v>2015</v>
      </c>
      <c r="C24" s="8" t="s">
        <v>214</v>
      </c>
      <c r="D24" s="8" t="s">
        <v>215</v>
      </c>
      <c r="E24" s="8" t="s">
        <v>216</v>
      </c>
      <c r="F24" s="10">
        <v>2.57</v>
      </c>
      <c r="G24" s="1" t="str">
        <f t="shared" si="0"/>
        <v>Memory - DRAM</v>
      </c>
    </row>
    <row r="25" spans="1:7">
      <c r="A25" s="8" t="s">
        <v>239</v>
      </c>
      <c r="B25" s="8">
        <v>2015</v>
      </c>
      <c r="C25" s="8" t="s">
        <v>214</v>
      </c>
      <c r="D25" s="8" t="s">
        <v>215</v>
      </c>
      <c r="E25" s="8" t="s">
        <v>216</v>
      </c>
      <c r="F25" s="10">
        <v>2.67</v>
      </c>
      <c r="G25" s="1" t="str">
        <f t="shared" si="0"/>
        <v>Memory - DRAM</v>
      </c>
    </row>
    <row r="26" spans="1:7">
      <c r="A26" s="8" t="s">
        <v>240</v>
      </c>
      <c r="B26" s="8">
        <v>2016</v>
      </c>
      <c r="C26" s="8" t="s">
        <v>214</v>
      </c>
      <c r="D26" s="8" t="s">
        <v>215</v>
      </c>
      <c r="E26" s="8" t="s">
        <v>216</v>
      </c>
      <c r="F26" s="10">
        <v>2.58</v>
      </c>
      <c r="G26" s="1" t="str">
        <f t="shared" si="0"/>
        <v>Memory - DRAM</v>
      </c>
    </row>
    <row r="27" spans="1:7">
      <c r="A27" s="8" t="s">
        <v>241</v>
      </c>
      <c r="B27" s="8">
        <v>2016</v>
      </c>
      <c r="C27" s="8" t="s">
        <v>214</v>
      </c>
      <c r="D27" s="8" t="s">
        <v>215</v>
      </c>
      <c r="E27" s="8" t="s">
        <v>216</v>
      </c>
      <c r="F27" s="10">
        <v>2.74</v>
      </c>
      <c r="G27" s="1" t="str">
        <f t="shared" si="0"/>
        <v>Memory - DRAM</v>
      </c>
    </row>
    <row r="28" spans="1:7">
      <c r="A28" s="8" t="s">
        <v>242</v>
      </c>
      <c r="B28" s="8">
        <v>2016</v>
      </c>
      <c r="C28" s="8" t="s">
        <v>214</v>
      </c>
      <c r="D28" s="8" t="s">
        <v>215</v>
      </c>
      <c r="E28" s="8" t="s">
        <v>216</v>
      </c>
      <c r="F28" s="10">
        <v>2.8</v>
      </c>
      <c r="G28" s="1" t="str">
        <f t="shared" si="0"/>
        <v>Memory - DRAM</v>
      </c>
    </row>
    <row r="29" spans="1:7">
      <c r="A29" s="8" t="s">
        <v>243</v>
      </c>
      <c r="B29" s="8">
        <v>2016</v>
      </c>
      <c r="C29" s="8" t="s">
        <v>214</v>
      </c>
      <c r="D29" s="8" t="s">
        <v>215</v>
      </c>
      <c r="E29" s="8" t="s">
        <v>216</v>
      </c>
      <c r="F29" s="10">
        <v>2.74</v>
      </c>
      <c r="G29" s="1" t="str">
        <f t="shared" si="0"/>
        <v>Memory - DRAM</v>
      </c>
    </row>
    <row r="30" spans="1:7">
      <c r="A30" s="8" t="s">
        <v>244</v>
      </c>
      <c r="B30" s="8">
        <v>2016</v>
      </c>
      <c r="C30" s="8" t="s">
        <v>214</v>
      </c>
      <c r="D30" s="8" t="s">
        <v>215</v>
      </c>
      <c r="E30" s="8" t="s">
        <v>216</v>
      </c>
      <c r="F30" s="10">
        <v>2.85</v>
      </c>
      <c r="G30" s="1" t="str">
        <f t="shared" si="0"/>
        <v>Memory - DRAM</v>
      </c>
    </row>
    <row r="31" spans="1:7">
      <c r="A31" s="8" t="s">
        <v>245</v>
      </c>
      <c r="B31" s="8">
        <v>2016</v>
      </c>
      <c r="C31" s="8" t="s">
        <v>214</v>
      </c>
      <c r="D31" s="8" t="s">
        <v>215</v>
      </c>
      <c r="E31" s="8" t="s">
        <v>216</v>
      </c>
      <c r="F31" s="10">
        <v>3.1</v>
      </c>
      <c r="G31" s="1" t="str">
        <f t="shared" si="0"/>
        <v>Memory - DRAM</v>
      </c>
    </row>
    <row r="32" spans="1:7">
      <c r="A32" s="8" t="s">
        <v>246</v>
      </c>
      <c r="B32" s="8">
        <v>2016</v>
      </c>
      <c r="C32" s="8" t="s">
        <v>214</v>
      </c>
      <c r="D32" s="8" t="s">
        <v>215</v>
      </c>
      <c r="E32" s="8" t="s">
        <v>216</v>
      </c>
      <c r="F32" s="10">
        <v>3.33</v>
      </c>
      <c r="G32" s="1" t="str">
        <f t="shared" si="0"/>
        <v>Memory - DRAM</v>
      </c>
    </row>
    <row r="33" spans="1:7">
      <c r="A33" s="8" t="s">
        <v>247</v>
      </c>
      <c r="B33" s="8">
        <v>2016</v>
      </c>
      <c r="C33" s="8" t="s">
        <v>214</v>
      </c>
      <c r="D33" s="8" t="s">
        <v>215</v>
      </c>
      <c r="E33" s="8" t="s">
        <v>216</v>
      </c>
      <c r="F33" s="10">
        <v>3.02</v>
      </c>
      <c r="G33" s="1" t="str">
        <f t="shared" si="0"/>
        <v>Memory - DRAM</v>
      </c>
    </row>
    <row r="34" spans="1:7">
      <c r="A34" s="8" t="s">
        <v>248</v>
      </c>
      <c r="B34" s="8">
        <v>2016</v>
      </c>
      <c r="C34" s="8" t="s">
        <v>214</v>
      </c>
      <c r="D34" s="8" t="s">
        <v>215</v>
      </c>
      <c r="E34" s="8" t="s">
        <v>216</v>
      </c>
      <c r="F34" s="10">
        <v>3.45</v>
      </c>
      <c r="G34" s="1" t="str">
        <f t="shared" si="0"/>
        <v>Memory - DRAM</v>
      </c>
    </row>
    <row r="35" spans="1:7">
      <c r="A35" s="8" t="s">
        <v>249</v>
      </c>
      <c r="B35" s="8">
        <v>2016</v>
      </c>
      <c r="C35" s="8" t="s">
        <v>214</v>
      </c>
      <c r="D35" s="8" t="s">
        <v>215</v>
      </c>
      <c r="E35" s="8" t="s">
        <v>216</v>
      </c>
      <c r="F35" s="10">
        <v>3.67</v>
      </c>
      <c r="G35" s="1" t="str">
        <f t="shared" si="0"/>
        <v>Memory - DRAM</v>
      </c>
    </row>
    <row r="36" spans="1:7">
      <c r="A36" s="8" t="s">
        <v>250</v>
      </c>
      <c r="B36" s="8">
        <v>2016</v>
      </c>
      <c r="C36" s="8" t="s">
        <v>214</v>
      </c>
      <c r="D36" s="8" t="s">
        <v>215</v>
      </c>
      <c r="E36" s="8" t="s">
        <v>216</v>
      </c>
      <c r="F36" s="10">
        <v>3.58</v>
      </c>
      <c r="G36" s="1" t="str">
        <f t="shared" si="0"/>
        <v>Memory - DRAM</v>
      </c>
    </row>
    <row r="37" spans="1:7">
      <c r="A37" s="8" t="s">
        <v>251</v>
      </c>
      <c r="B37" s="8">
        <v>2016</v>
      </c>
      <c r="C37" s="8" t="s">
        <v>214</v>
      </c>
      <c r="D37" s="8" t="s">
        <v>215</v>
      </c>
      <c r="E37" s="8" t="s">
        <v>216</v>
      </c>
      <c r="F37" s="10">
        <v>3.78</v>
      </c>
      <c r="G37" s="1" t="str">
        <f t="shared" si="0"/>
        <v>Memory - DRAM</v>
      </c>
    </row>
    <row r="38" spans="1:7">
      <c r="A38" s="8" t="s">
        <v>252</v>
      </c>
      <c r="B38" s="8">
        <v>2017</v>
      </c>
      <c r="C38" s="8" t="s">
        <v>214</v>
      </c>
      <c r="D38" s="8" t="s">
        <v>215</v>
      </c>
      <c r="E38" s="8" t="s">
        <v>216</v>
      </c>
      <c r="F38" s="10">
        <v>3.89</v>
      </c>
      <c r="G38" s="1" t="str">
        <f t="shared" si="0"/>
        <v>Memory - DRAM</v>
      </c>
    </row>
    <row r="39" spans="1:7">
      <c r="A39" s="8" t="s">
        <v>253</v>
      </c>
      <c r="B39" s="8">
        <v>2017</v>
      </c>
      <c r="C39" s="8" t="s">
        <v>214</v>
      </c>
      <c r="D39" s="8" t="s">
        <v>215</v>
      </c>
      <c r="E39" s="8" t="s">
        <v>216</v>
      </c>
      <c r="F39" s="10">
        <v>4.29</v>
      </c>
      <c r="G39" s="1" t="str">
        <f t="shared" si="0"/>
        <v>Memory - DRAM</v>
      </c>
    </row>
    <row r="40" spans="1:7">
      <c r="A40" s="8" t="s">
        <v>254</v>
      </c>
      <c r="B40" s="8">
        <v>2017</v>
      </c>
      <c r="C40" s="8" t="s">
        <v>214</v>
      </c>
      <c r="D40" s="8" t="s">
        <v>215</v>
      </c>
      <c r="E40" s="8" t="s">
        <v>216</v>
      </c>
      <c r="F40" s="10">
        <v>4.3</v>
      </c>
      <c r="G40" s="1" t="str">
        <f t="shared" si="0"/>
        <v>Memory - DRAM</v>
      </c>
    </row>
    <row r="41" spans="1:7">
      <c r="A41" s="8" t="s">
        <v>255</v>
      </c>
      <c r="B41" s="8">
        <v>2017</v>
      </c>
      <c r="C41" s="8" t="s">
        <v>214</v>
      </c>
      <c r="D41" s="8" t="s">
        <v>215</v>
      </c>
      <c r="E41" s="8" t="s">
        <v>216</v>
      </c>
      <c r="F41" s="10">
        <v>4.45</v>
      </c>
      <c r="G41" s="1" t="str">
        <f t="shared" si="0"/>
        <v>Memory - DRAM</v>
      </c>
    </row>
    <row r="42" spans="1:7">
      <c r="A42" s="8" t="s">
        <v>256</v>
      </c>
      <c r="B42" s="8">
        <v>2017</v>
      </c>
      <c r="C42" s="8" t="s">
        <v>214</v>
      </c>
      <c r="D42" s="8" t="s">
        <v>215</v>
      </c>
      <c r="E42" s="8" t="s">
        <v>216</v>
      </c>
      <c r="F42" s="10">
        <v>5.39</v>
      </c>
      <c r="G42" s="1" t="str">
        <f t="shared" si="0"/>
        <v>Memory - DRAM</v>
      </c>
    </row>
    <row r="43" spans="1:7">
      <c r="A43" s="8" t="s">
        <v>257</v>
      </c>
      <c r="B43" s="8">
        <v>2017</v>
      </c>
      <c r="C43" s="8" t="s">
        <v>214</v>
      </c>
      <c r="D43" s="8" t="s">
        <v>215</v>
      </c>
      <c r="E43" s="8" t="s">
        <v>216</v>
      </c>
      <c r="F43" s="10">
        <v>5.28</v>
      </c>
      <c r="G43" s="1" t="str">
        <f t="shared" si="0"/>
        <v>Memory - DRAM</v>
      </c>
    </row>
    <row r="44" spans="1:7">
      <c r="A44" s="8" t="s">
        <v>258</v>
      </c>
      <c r="B44" s="8">
        <v>2017</v>
      </c>
      <c r="C44" s="8" t="s">
        <v>214</v>
      </c>
      <c r="D44" s="8" t="s">
        <v>215</v>
      </c>
      <c r="E44" s="8" t="s">
        <v>216</v>
      </c>
      <c r="F44" s="10">
        <v>5.68</v>
      </c>
      <c r="G44" s="1" t="str">
        <f t="shared" si="0"/>
        <v>Memory - DRAM</v>
      </c>
    </row>
    <row r="45" spans="1:7">
      <c r="A45" s="8" t="s">
        <v>259</v>
      </c>
      <c r="B45" s="8">
        <v>2017</v>
      </c>
      <c r="C45" s="8" t="s">
        <v>214</v>
      </c>
      <c r="D45" s="8" t="s">
        <v>215</v>
      </c>
      <c r="E45" s="8" t="s">
        <v>216</v>
      </c>
      <c r="F45" s="10">
        <v>5.77</v>
      </c>
      <c r="G45" s="1" t="str">
        <f t="shared" si="0"/>
        <v>Memory - DRAM</v>
      </c>
    </row>
    <row r="46" spans="1:7">
      <c r="A46" s="8" t="s">
        <v>260</v>
      </c>
      <c r="B46" s="8">
        <v>2017</v>
      </c>
      <c r="C46" s="8" t="s">
        <v>214</v>
      </c>
      <c r="D46" s="8" t="s">
        <v>215</v>
      </c>
      <c r="E46" s="8" t="s">
        <v>216</v>
      </c>
      <c r="F46" s="10">
        <v>6.05</v>
      </c>
      <c r="G46" s="1" t="str">
        <f t="shared" si="0"/>
        <v>Memory - DRAM</v>
      </c>
    </row>
    <row r="47" spans="1:7">
      <c r="A47" s="8" t="s">
        <v>261</v>
      </c>
      <c r="B47" s="8">
        <v>2017</v>
      </c>
      <c r="C47" s="8" t="s">
        <v>214</v>
      </c>
      <c r="D47" s="8" t="s">
        <v>215</v>
      </c>
      <c r="E47" s="8" t="s">
        <v>216</v>
      </c>
      <c r="F47" s="10">
        <v>6.55</v>
      </c>
      <c r="G47" s="1" t="str">
        <f t="shared" si="0"/>
        <v>Memory - DRAM</v>
      </c>
    </row>
    <row r="48" spans="1:7">
      <c r="A48" s="8" t="s">
        <v>262</v>
      </c>
      <c r="B48" s="8">
        <v>2017</v>
      </c>
      <c r="C48" s="8" t="s">
        <v>214</v>
      </c>
      <c r="D48" s="8" t="s">
        <v>215</v>
      </c>
      <c r="E48" s="8" t="s">
        <v>216</v>
      </c>
      <c r="F48" s="10">
        <v>6.61</v>
      </c>
      <c r="G48" s="1" t="str">
        <f t="shared" si="0"/>
        <v>Memory - DRAM</v>
      </c>
    </row>
    <row r="49" spans="1:7">
      <c r="A49" s="8" t="s">
        <v>263</v>
      </c>
      <c r="B49" s="8">
        <v>2017</v>
      </c>
      <c r="C49" s="8" t="s">
        <v>214</v>
      </c>
      <c r="D49" s="8" t="s">
        <v>215</v>
      </c>
      <c r="E49" s="8" t="s">
        <v>216</v>
      </c>
      <c r="F49" s="10">
        <v>7.11</v>
      </c>
      <c r="G49" s="1" t="str">
        <f t="shared" si="0"/>
        <v>Memory - DRAM</v>
      </c>
    </row>
    <row r="50" spans="1:7">
      <c r="A50" s="8" t="s">
        <v>264</v>
      </c>
      <c r="B50" s="8">
        <v>2018</v>
      </c>
      <c r="C50" s="8" t="s">
        <v>214</v>
      </c>
      <c r="D50" s="8" t="s">
        <v>215</v>
      </c>
      <c r="E50" s="8" t="s">
        <v>216</v>
      </c>
      <c r="F50" s="10">
        <v>7.34</v>
      </c>
      <c r="G50" s="1" t="str">
        <f t="shared" si="0"/>
        <v>Memory - DRAM</v>
      </c>
    </row>
    <row r="51" spans="1:7">
      <c r="A51" s="8" t="s">
        <v>265</v>
      </c>
      <c r="B51" s="8">
        <v>2018</v>
      </c>
      <c r="C51" s="8" t="s">
        <v>214</v>
      </c>
      <c r="D51" s="8" t="s">
        <v>215</v>
      </c>
      <c r="E51" s="8" t="s">
        <v>216</v>
      </c>
      <c r="F51" s="10">
        <v>7.5</v>
      </c>
      <c r="G51" s="1" t="str">
        <f t="shared" si="0"/>
        <v>Memory - DRAM</v>
      </c>
    </row>
    <row r="52" spans="1:7">
      <c r="A52" s="8" t="s">
        <v>266</v>
      </c>
      <c r="B52" s="8">
        <v>2018</v>
      </c>
      <c r="C52" s="8" t="s">
        <v>214</v>
      </c>
      <c r="D52" s="8" t="s">
        <v>215</v>
      </c>
      <c r="E52" s="8" t="s">
        <v>216</v>
      </c>
      <c r="F52" s="10">
        <v>7.67</v>
      </c>
      <c r="G52" s="1" t="str">
        <f t="shared" si="0"/>
        <v>Memory - DRAM</v>
      </c>
    </row>
    <row r="53" spans="1:7">
      <c r="A53" s="8" t="s">
        <v>267</v>
      </c>
      <c r="B53" s="8">
        <v>2018</v>
      </c>
      <c r="C53" s="8" t="s">
        <v>214</v>
      </c>
      <c r="D53" s="8" t="s">
        <v>215</v>
      </c>
      <c r="E53" s="8" t="s">
        <v>216</v>
      </c>
      <c r="F53" s="10">
        <v>8.31</v>
      </c>
      <c r="G53" s="1" t="str">
        <f t="shared" si="0"/>
        <v>Memory - DRAM</v>
      </c>
    </row>
    <row r="54" spans="1:7">
      <c r="A54" s="8" t="s">
        <v>268</v>
      </c>
      <c r="B54" s="8">
        <v>2018</v>
      </c>
      <c r="C54" s="8" t="s">
        <v>214</v>
      </c>
      <c r="D54" s="8" t="s">
        <v>215</v>
      </c>
      <c r="E54" s="8" t="s">
        <v>216</v>
      </c>
      <c r="F54" s="10">
        <v>7.66</v>
      </c>
      <c r="G54" s="1" t="str">
        <f t="shared" si="0"/>
        <v>Memory - DRAM</v>
      </c>
    </row>
    <row r="55" spans="1:7">
      <c r="A55" s="8" t="s">
        <v>269</v>
      </c>
      <c r="B55" s="8">
        <v>2018</v>
      </c>
      <c r="C55" s="8" t="s">
        <v>214</v>
      </c>
      <c r="D55" s="8" t="s">
        <v>215</v>
      </c>
      <c r="E55" s="8" t="s">
        <v>216</v>
      </c>
      <c r="F55" s="10">
        <v>8.18</v>
      </c>
      <c r="G55" s="1" t="str">
        <f t="shared" si="0"/>
        <v>Memory - DRAM</v>
      </c>
    </row>
    <row r="56" spans="1:7">
      <c r="A56" s="8" t="s">
        <v>270</v>
      </c>
      <c r="B56" s="8">
        <v>2018</v>
      </c>
      <c r="C56" s="8" t="s">
        <v>214</v>
      </c>
      <c r="D56" s="8" t="s">
        <v>215</v>
      </c>
      <c r="E56" s="8" t="s">
        <v>216</v>
      </c>
      <c r="F56" s="10">
        <v>8.43</v>
      </c>
      <c r="G56" s="1" t="str">
        <f t="shared" si="0"/>
        <v>Memory - DRAM</v>
      </c>
    </row>
    <row r="57" spans="1:7">
      <c r="A57" s="8" t="s">
        <v>271</v>
      </c>
      <c r="B57" s="8">
        <v>2018</v>
      </c>
      <c r="C57" s="8" t="s">
        <v>214</v>
      </c>
      <c r="D57" s="8" t="s">
        <v>215</v>
      </c>
      <c r="E57" s="8" t="s">
        <v>216</v>
      </c>
      <c r="F57" s="10">
        <v>8.31</v>
      </c>
      <c r="G57" s="1" t="str">
        <f t="shared" si="0"/>
        <v>Memory - DRAM</v>
      </c>
    </row>
    <row r="58" spans="1:7">
      <c r="A58" s="8" t="s">
        <v>272</v>
      </c>
      <c r="B58" s="8">
        <v>2018</v>
      </c>
      <c r="C58" s="8" t="s">
        <v>214</v>
      </c>
      <c r="D58" s="8" t="s">
        <v>215</v>
      </c>
      <c r="E58" s="8" t="s">
        <v>216</v>
      </c>
      <c r="F58" s="10">
        <v>7.32</v>
      </c>
      <c r="G58" s="1" t="str">
        <f t="shared" si="0"/>
        <v>Memory - DRAM</v>
      </c>
    </row>
    <row r="59" spans="1:7">
      <c r="A59" s="8" t="s">
        <v>273</v>
      </c>
      <c r="B59" s="8">
        <v>2018</v>
      </c>
      <c r="C59" s="8" t="s">
        <v>214</v>
      </c>
      <c r="D59" s="8" t="s">
        <v>215</v>
      </c>
      <c r="E59" s="8" t="s">
        <v>216</v>
      </c>
      <c r="F59" s="10">
        <v>7.51</v>
      </c>
      <c r="G59" s="1" t="str">
        <f t="shared" si="0"/>
        <v>Memory - DRAM</v>
      </c>
    </row>
    <row r="60" spans="1:7">
      <c r="A60" s="8" t="s">
        <v>274</v>
      </c>
      <c r="B60" s="8">
        <v>2018</v>
      </c>
      <c r="C60" s="8" t="s">
        <v>214</v>
      </c>
      <c r="D60" s="8" t="s">
        <v>215</v>
      </c>
      <c r="E60" s="8" t="s">
        <v>216</v>
      </c>
      <c r="F60" s="10">
        <v>7.86</v>
      </c>
      <c r="G60" s="1" t="str">
        <f t="shared" si="0"/>
        <v>Memory - DRAM</v>
      </c>
    </row>
    <row r="61" spans="1:7">
      <c r="A61" s="8" t="s">
        <v>275</v>
      </c>
      <c r="B61" s="8">
        <v>2018</v>
      </c>
      <c r="C61" s="8" t="s">
        <v>214</v>
      </c>
      <c r="D61" s="8" t="s">
        <v>215</v>
      </c>
      <c r="E61" s="8" t="s">
        <v>216</v>
      </c>
      <c r="F61" s="10">
        <v>7.45</v>
      </c>
      <c r="G61" s="1" t="str">
        <f t="shared" si="0"/>
        <v>Memory - DRAM</v>
      </c>
    </row>
    <row r="62" spans="1:7">
      <c r="A62" s="8" t="s">
        <v>276</v>
      </c>
      <c r="B62" s="8">
        <v>2019</v>
      </c>
      <c r="C62" s="8" t="s">
        <v>214</v>
      </c>
      <c r="D62" s="8" t="s">
        <v>215</v>
      </c>
      <c r="E62" s="8" t="s">
        <v>216</v>
      </c>
      <c r="F62" s="10">
        <v>6.97</v>
      </c>
      <c r="G62" s="1" t="str">
        <f t="shared" si="0"/>
        <v>Memory - DRAM</v>
      </c>
    </row>
    <row r="63" spans="1:7">
      <c r="A63" s="8" t="s">
        <v>277</v>
      </c>
      <c r="B63" s="8">
        <v>2019</v>
      </c>
      <c r="C63" s="8" t="s">
        <v>214</v>
      </c>
      <c r="D63" s="8" t="s">
        <v>215</v>
      </c>
      <c r="E63" s="8" t="s">
        <v>216</v>
      </c>
      <c r="F63" s="10">
        <v>6.48</v>
      </c>
      <c r="G63" s="1" t="str">
        <f t="shared" si="0"/>
        <v>Memory - DRAM</v>
      </c>
    </row>
    <row r="64" spans="1:7">
      <c r="A64" s="8" t="s">
        <v>278</v>
      </c>
      <c r="B64" s="8">
        <v>2019</v>
      </c>
      <c r="C64" s="8" t="s">
        <v>214</v>
      </c>
      <c r="D64" s="8" t="s">
        <v>215</v>
      </c>
      <c r="E64" s="8" t="s">
        <v>216</v>
      </c>
      <c r="F64" s="10">
        <v>6.1</v>
      </c>
      <c r="G64" s="1" t="str">
        <f t="shared" si="0"/>
        <v>Memory - DRAM</v>
      </c>
    </row>
    <row r="65" spans="1:7">
      <c r="A65" s="8" t="s">
        <v>279</v>
      </c>
      <c r="B65" s="8">
        <v>2019</v>
      </c>
      <c r="C65" s="8" t="s">
        <v>214</v>
      </c>
      <c r="D65" s="8" t="s">
        <v>215</v>
      </c>
      <c r="E65" s="8" t="s">
        <v>216</v>
      </c>
      <c r="F65" s="10">
        <v>5.88</v>
      </c>
      <c r="G65" s="1" t="str">
        <f t="shared" si="0"/>
        <v>Memory - DRAM</v>
      </c>
    </row>
    <row r="66" spans="1:7">
      <c r="A66" s="8" t="s">
        <v>280</v>
      </c>
      <c r="B66" s="8">
        <v>2019</v>
      </c>
      <c r="C66" s="8" t="s">
        <v>214</v>
      </c>
      <c r="D66" s="8" t="s">
        <v>215</v>
      </c>
      <c r="E66" s="8" t="s">
        <v>216</v>
      </c>
      <c r="F66" s="10">
        <v>5.39</v>
      </c>
      <c r="G66" s="1" t="str">
        <f t="shared" si="0"/>
        <v>Memory - DRAM</v>
      </c>
    </row>
    <row r="67" spans="1:7">
      <c r="A67" s="8" t="s">
        <v>281</v>
      </c>
      <c r="B67" s="8">
        <v>2019</v>
      </c>
      <c r="C67" s="8" t="s">
        <v>214</v>
      </c>
      <c r="D67" s="8" t="s">
        <v>215</v>
      </c>
      <c r="E67" s="8" t="s">
        <v>216</v>
      </c>
      <c r="F67" s="10">
        <v>5.05</v>
      </c>
      <c r="G67" s="1" t="str">
        <f t="shared" ref="G67:G130" si="1">IF(LEFT(C67,4)="DRAM","Memory - DRAM",IF(LEFT(C67,4)="NAND","Memory - NAND",IF(LEFT(C67,3)="HBM","Memory - HBM","GPU")))</f>
        <v>Memory - DRAM</v>
      </c>
    </row>
    <row r="68" spans="1:7">
      <c r="A68" s="8" t="s">
        <v>282</v>
      </c>
      <c r="B68" s="8">
        <v>2019</v>
      </c>
      <c r="C68" s="8" t="s">
        <v>214</v>
      </c>
      <c r="D68" s="8" t="s">
        <v>215</v>
      </c>
      <c r="E68" s="8" t="s">
        <v>216</v>
      </c>
      <c r="F68" s="10">
        <v>4.71</v>
      </c>
      <c r="G68" s="1" t="str">
        <f t="shared" si="1"/>
        <v>Memory - DRAM</v>
      </c>
    </row>
    <row r="69" spans="1:7">
      <c r="A69" s="8" t="s">
        <v>283</v>
      </c>
      <c r="B69" s="8">
        <v>2019</v>
      </c>
      <c r="C69" s="8" t="s">
        <v>214</v>
      </c>
      <c r="D69" s="8" t="s">
        <v>215</v>
      </c>
      <c r="E69" s="8" t="s">
        <v>216</v>
      </c>
      <c r="F69" s="10">
        <v>4.2</v>
      </c>
      <c r="G69" s="1" t="str">
        <f t="shared" si="1"/>
        <v>Memory - DRAM</v>
      </c>
    </row>
    <row r="70" spans="1:7">
      <c r="A70" s="8" t="s">
        <v>284</v>
      </c>
      <c r="B70" s="8">
        <v>2019</v>
      </c>
      <c r="C70" s="8" t="s">
        <v>214</v>
      </c>
      <c r="D70" s="8" t="s">
        <v>215</v>
      </c>
      <c r="E70" s="8" t="s">
        <v>216</v>
      </c>
      <c r="F70" s="10">
        <v>4.01</v>
      </c>
      <c r="G70" s="1" t="str">
        <f t="shared" si="1"/>
        <v>Memory - DRAM</v>
      </c>
    </row>
    <row r="71" spans="1:7">
      <c r="A71" s="8" t="s">
        <v>285</v>
      </c>
      <c r="B71" s="8">
        <v>2019</v>
      </c>
      <c r="C71" s="8" t="s">
        <v>214</v>
      </c>
      <c r="D71" s="8" t="s">
        <v>215</v>
      </c>
      <c r="E71" s="8" t="s">
        <v>216</v>
      </c>
      <c r="F71" s="10">
        <v>4</v>
      </c>
      <c r="G71" s="1" t="str">
        <f t="shared" si="1"/>
        <v>Memory - DRAM</v>
      </c>
    </row>
    <row r="72" spans="1:7">
      <c r="A72" s="8" t="s">
        <v>286</v>
      </c>
      <c r="B72" s="8">
        <v>2019</v>
      </c>
      <c r="C72" s="8" t="s">
        <v>214</v>
      </c>
      <c r="D72" s="8" t="s">
        <v>215</v>
      </c>
      <c r="E72" s="8" t="s">
        <v>216</v>
      </c>
      <c r="F72" s="10">
        <v>2.96</v>
      </c>
      <c r="G72" s="1" t="str">
        <f t="shared" si="1"/>
        <v>Memory - DRAM</v>
      </c>
    </row>
    <row r="73" spans="1:7">
      <c r="A73" s="8" t="s">
        <v>287</v>
      </c>
      <c r="B73" s="8">
        <v>2019</v>
      </c>
      <c r="C73" s="8" t="s">
        <v>214</v>
      </c>
      <c r="D73" s="8" t="s">
        <v>215</v>
      </c>
      <c r="E73" s="8" t="s">
        <v>216</v>
      </c>
      <c r="F73" s="10">
        <v>2.85</v>
      </c>
      <c r="G73" s="1" t="str">
        <f t="shared" si="1"/>
        <v>Memory - DRAM</v>
      </c>
    </row>
    <row r="74" spans="1:7">
      <c r="A74" s="8" t="s">
        <v>288</v>
      </c>
      <c r="B74" s="8">
        <v>2020</v>
      </c>
      <c r="C74" s="8" t="s">
        <v>214</v>
      </c>
      <c r="D74" s="8" t="s">
        <v>215</v>
      </c>
      <c r="E74" s="8" t="s">
        <v>216</v>
      </c>
      <c r="F74" s="10">
        <v>2.81</v>
      </c>
      <c r="G74" s="1" t="str">
        <f t="shared" si="1"/>
        <v>Memory - DRAM</v>
      </c>
    </row>
    <row r="75" spans="1:7">
      <c r="A75" s="8" t="s">
        <v>289</v>
      </c>
      <c r="B75" s="8">
        <v>2020</v>
      </c>
      <c r="C75" s="8" t="s">
        <v>214</v>
      </c>
      <c r="D75" s="8" t="s">
        <v>215</v>
      </c>
      <c r="E75" s="8" t="s">
        <v>216</v>
      </c>
      <c r="F75" s="10">
        <v>3.05</v>
      </c>
      <c r="G75" s="1" t="str">
        <f t="shared" si="1"/>
        <v>Memory - DRAM</v>
      </c>
    </row>
    <row r="76" spans="1:7">
      <c r="A76" s="8" t="s">
        <v>290</v>
      </c>
      <c r="B76" s="8">
        <v>2020</v>
      </c>
      <c r="C76" s="8" t="s">
        <v>214</v>
      </c>
      <c r="D76" s="8" t="s">
        <v>215</v>
      </c>
      <c r="E76" s="8" t="s">
        <v>216</v>
      </c>
      <c r="F76" s="10">
        <v>3.06</v>
      </c>
      <c r="G76" s="1" t="str">
        <f t="shared" si="1"/>
        <v>Memory - DRAM</v>
      </c>
    </row>
    <row r="77" spans="1:7">
      <c r="A77" s="8" t="s">
        <v>291</v>
      </c>
      <c r="B77" s="8">
        <v>2020</v>
      </c>
      <c r="C77" s="8" t="s">
        <v>214</v>
      </c>
      <c r="D77" s="8" t="s">
        <v>215</v>
      </c>
      <c r="E77" s="8" t="s">
        <v>216</v>
      </c>
      <c r="F77" s="10">
        <v>3.24</v>
      </c>
      <c r="G77" s="1" t="str">
        <f t="shared" si="1"/>
        <v>Memory - DRAM</v>
      </c>
    </row>
    <row r="78" spans="1:7">
      <c r="A78" s="8" t="s">
        <v>292</v>
      </c>
      <c r="B78" s="8">
        <v>2020</v>
      </c>
      <c r="C78" s="8" t="s">
        <v>214</v>
      </c>
      <c r="D78" s="8" t="s">
        <v>215</v>
      </c>
      <c r="E78" s="8" t="s">
        <v>216</v>
      </c>
      <c r="F78" s="10">
        <v>3.38</v>
      </c>
      <c r="G78" s="1" t="str">
        <f t="shared" si="1"/>
        <v>Memory - DRAM</v>
      </c>
    </row>
    <row r="79" spans="1:7">
      <c r="A79" s="8" t="s">
        <v>293</v>
      </c>
      <c r="B79" s="8">
        <v>2020</v>
      </c>
      <c r="C79" s="8" t="s">
        <v>214</v>
      </c>
      <c r="D79" s="8" t="s">
        <v>215</v>
      </c>
      <c r="E79" s="8" t="s">
        <v>216</v>
      </c>
      <c r="F79" s="10">
        <v>3.34</v>
      </c>
      <c r="G79" s="1" t="str">
        <f t="shared" si="1"/>
        <v>Memory - DRAM</v>
      </c>
    </row>
    <row r="80" spans="1:7">
      <c r="A80" s="8" t="s">
        <v>294</v>
      </c>
      <c r="B80" s="8">
        <v>2020</v>
      </c>
      <c r="C80" s="8" t="s">
        <v>214</v>
      </c>
      <c r="D80" s="8" t="s">
        <v>215</v>
      </c>
      <c r="E80" s="8" t="s">
        <v>216</v>
      </c>
      <c r="F80" s="10">
        <v>3.38</v>
      </c>
      <c r="G80" s="1" t="str">
        <f t="shared" si="1"/>
        <v>Memory - DRAM</v>
      </c>
    </row>
    <row r="81" spans="1:7">
      <c r="A81" s="8" t="s">
        <v>295</v>
      </c>
      <c r="B81" s="8">
        <v>2020</v>
      </c>
      <c r="C81" s="8" t="s">
        <v>214</v>
      </c>
      <c r="D81" s="8" t="s">
        <v>215</v>
      </c>
      <c r="E81" s="8" t="s">
        <v>216</v>
      </c>
      <c r="F81" s="10">
        <v>2.87</v>
      </c>
      <c r="G81" s="1" t="str">
        <f t="shared" si="1"/>
        <v>Memory - DRAM</v>
      </c>
    </row>
    <row r="82" spans="1:7">
      <c r="A82" s="8" t="s">
        <v>296</v>
      </c>
      <c r="B82" s="8">
        <v>2020</v>
      </c>
      <c r="C82" s="8" t="s">
        <v>214</v>
      </c>
      <c r="D82" s="8" t="s">
        <v>215</v>
      </c>
      <c r="E82" s="8" t="s">
        <v>216</v>
      </c>
      <c r="F82" s="10">
        <v>3.28</v>
      </c>
      <c r="G82" s="1" t="str">
        <f t="shared" si="1"/>
        <v>Memory - DRAM</v>
      </c>
    </row>
    <row r="83" spans="1:7">
      <c r="A83" s="8" t="s">
        <v>297</v>
      </c>
      <c r="B83" s="8">
        <v>2020</v>
      </c>
      <c r="C83" s="8" t="s">
        <v>214</v>
      </c>
      <c r="D83" s="8" t="s">
        <v>215</v>
      </c>
      <c r="E83" s="8" t="s">
        <v>216</v>
      </c>
      <c r="F83" s="10">
        <v>3.05</v>
      </c>
      <c r="G83" s="1" t="str">
        <f t="shared" si="1"/>
        <v>Memory - DRAM</v>
      </c>
    </row>
    <row r="84" spans="1:7">
      <c r="A84" s="8" t="s">
        <v>298</v>
      </c>
      <c r="B84" s="8">
        <v>2020</v>
      </c>
      <c r="C84" s="8" t="s">
        <v>214</v>
      </c>
      <c r="D84" s="8" t="s">
        <v>215</v>
      </c>
      <c r="E84" s="8" t="s">
        <v>216</v>
      </c>
      <c r="F84" s="10">
        <v>3.05</v>
      </c>
      <c r="G84" s="1" t="str">
        <f t="shared" si="1"/>
        <v>Memory - DRAM</v>
      </c>
    </row>
    <row r="85" spans="1:7">
      <c r="A85" s="8" t="s">
        <v>299</v>
      </c>
      <c r="B85" s="8">
        <v>2020</v>
      </c>
      <c r="C85" s="8" t="s">
        <v>214</v>
      </c>
      <c r="D85" s="8" t="s">
        <v>215</v>
      </c>
      <c r="E85" s="8" t="s">
        <v>216</v>
      </c>
      <c r="F85" s="10">
        <v>2.71</v>
      </c>
      <c r="G85" s="1" t="str">
        <f t="shared" si="1"/>
        <v>Memory - DRAM</v>
      </c>
    </row>
    <row r="86" spans="1:7">
      <c r="A86" s="8" t="s">
        <v>300</v>
      </c>
      <c r="B86" s="8">
        <v>2021</v>
      </c>
      <c r="C86" s="8" t="s">
        <v>214</v>
      </c>
      <c r="D86" s="8" t="s">
        <v>215</v>
      </c>
      <c r="E86" s="8" t="s">
        <v>216</v>
      </c>
      <c r="F86" s="10">
        <v>2.93</v>
      </c>
      <c r="G86" s="1" t="str">
        <f t="shared" si="1"/>
        <v>Memory - DRAM</v>
      </c>
    </row>
    <row r="87" spans="1:7">
      <c r="A87" s="8" t="s">
        <v>301</v>
      </c>
      <c r="B87" s="8">
        <v>2021</v>
      </c>
      <c r="C87" s="8" t="s">
        <v>214</v>
      </c>
      <c r="D87" s="8" t="s">
        <v>215</v>
      </c>
      <c r="E87" s="8" t="s">
        <v>216</v>
      </c>
      <c r="F87" s="10">
        <v>3.23</v>
      </c>
      <c r="G87" s="1" t="str">
        <f t="shared" si="1"/>
        <v>Memory - DRAM</v>
      </c>
    </row>
    <row r="88" spans="1:7">
      <c r="A88" s="8" t="s">
        <v>302</v>
      </c>
      <c r="B88" s="8">
        <v>2021</v>
      </c>
      <c r="C88" s="8" t="s">
        <v>214</v>
      </c>
      <c r="D88" s="8" t="s">
        <v>215</v>
      </c>
      <c r="E88" s="8" t="s">
        <v>216</v>
      </c>
      <c r="F88" s="10">
        <v>3.38</v>
      </c>
      <c r="G88" s="1" t="str">
        <f t="shared" si="1"/>
        <v>Memory - DRAM</v>
      </c>
    </row>
    <row r="89" spans="1:7">
      <c r="A89" s="8" t="s">
        <v>303</v>
      </c>
      <c r="B89" s="8">
        <v>2021</v>
      </c>
      <c r="C89" s="8" t="s">
        <v>214</v>
      </c>
      <c r="D89" s="8" t="s">
        <v>215</v>
      </c>
      <c r="E89" s="8" t="s">
        <v>216</v>
      </c>
      <c r="F89" s="10">
        <v>3.6</v>
      </c>
      <c r="G89" s="1" t="str">
        <f t="shared" si="1"/>
        <v>Memory - DRAM</v>
      </c>
    </row>
    <row r="90" spans="1:7">
      <c r="A90" s="8" t="s">
        <v>304</v>
      </c>
      <c r="B90" s="8">
        <v>2021</v>
      </c>
      <c r="C90" s="8" t="s">
        <v>214</v>
      </c>
      <c r="D90" s="8" t="s">
        <v>215</v>
      </c>
      <c r="E90" s="8" t="s">
        <v>216</v>
      </c>
      <c r="F90" s="10">
        <v>3.91</v>
      </c>
      <c r="G90" s="1" t="str">
        <f t="shared" si="1"/>
        <v>Memory - DRAM</v>
      </c>
    </row>
    <row r="91" spans="1:7">
      <c r="A91" s="8" t="s">
        <v>305</v>
      </c>
      <c r="B91" s="8">
        <v>2021</v>
      </c>
      <c r="C91" s="8" t="s">
        <v>214</v>
      </c>
      <c r="D91" s="8" t="s">
        <v>215</v>
      </c>
      <c r="E91" s="8" t="s">
        <v>216</v>
      </c>
      <c r="F91" s="10">
        <v>3.66</v>
      </c>
      <c r="G91" s="1" t="str">
        <f t="shared" si="1"/>
        <v>Memory - DRAM</v>
      </c>
    </row>
    <row r="92" spans="1:7">
      <c r="A92" s="8" t="s">
        <v>306</v>
      </c>
      <c r="B92" s="8">
        <v>2021</v>
      </c>
      <c r="C92" s="8" t="s">
        <v>214</v>
      </c>
      <c r="D92" s="8" t="s">
        <v>215</v>
      </c>
      <c r="E92" s="8" t="s">
        <v>216</v>
      </c>
      <c r="F92" s="10">
        <v>4.26</v>
      </c>
      <c r="G92" s="1" t="str">
        <f t="shared" si="1"/>
        <v>Memory - DRAM</v>
      </c>
    </row>
    <row r="93" spans="1:7">
      <c r="A93" s="8" t="s">
        <v>307</v>
      </c>
      <c r="B93" s="8">
        <v>2021</v>
      </c>
      <c r="C93" s="8" t="s">
        <v>214</v>
      </c>
      <c r="D93" s="8" t="s">
        <v>215</v>
      </c>
      <c r="E93" s="8" t="s">
        <v>216</v>
      </c>
      <c r="F93" s="10">
        <v>4.0599999999999996</v>
      </c>
      <c r="G93" s="1" t="str">
        <f t="shared" si="1"/>
        <v>Memory - DRAM</v>
      </c>
    </row>
    <row r="94" spans="1:7">
      <c r="A94" s="8" t="s">
        <v>308</v>
      </c>
      <c r="B94" s="8">
        <v>2021</v>
      </c>
      <c r="C94" s="8" t="s">
        <v>214</v>
      </c>
      <c r="D94" s="8" t="s">
        <v>215</v>
      </c>
      <c r="E94" s="8" t="s">
        <v>216</v>
      </c>
      <c r="F94" s="10">
        <v>3.97</v>
      </c>
      <c r="G94" s="1" t="str">
        <f t="shared" si="1"/>
        <v>Memory - DRAM</v>
      </c>
    </row>
    <row r="95" spans="1:7">
      <c r="A95" s="8" t="s">
        <v>309</v>
      </c>
      <c r="B95" s="8">
        <v>2021</v>
      </c>
      <c r="C95" s="8" t="s">
        <v>214</v>
      </c>
      <c r="D95" s="8" t="s">
        <v>215</v>
      </c>
      <c r="E95" s="8" t="s">
        <v>216</v>
      </c>
      <c r="F95" s="10">
        <v>3.74</v>
      </c>
      <c r="G95" s="1" t="str">
        <f t="shared" si="1"/>
        <v>Memory - DRAM</v>
      </c>
    </row>
    <row r="96" spans="1:7">
      <c r="A96" s="8" t="s">
        <v>310</v>
      </c>
      <c r="B96" s="8">
        <v>2021</v>
      </c>
      <c r="C96" s="8" t="s">
        <v>214</v>
      </c>
      <c r="D96" s="8" t="s">
        <v>215</v>
      </c>
      <c r="E96" s="8" t="s">
        <v>216</v>
      </c>
      <c r="F96" s="10">
        <v>4</v>
      </c>
      <c r="G96" s="1" t="str">
        <f t="shared" si="1"/>
        <v>Memory - DRAM</v>
      </c>
    </row>
    <row r="97" spans="1:7">
      <c r="A97" s="8" t="s">
        <v>311</v>
      </c>
      <c r="B97" s="8">
        <v>2021</v>
      </c>
      <c r="C97" s="8" t="s">
        <v>214</v>
      </c>
      <c r="D97" s="8" t="s">
        <v>215</v>
      </c>
      <c r="E97" s="8" t="s">
        <v>216</v>
      </c>
      <c r="F97" s="10">
        <v>3.52</v>
      </c>
      <c r="G97" s="1" t="str">
        <f t="shared" si="1"/>
        <v>Memory - DRAM</v>
      </c>
    </row>
    <row r="98" spans="1:7">
      <c r="A98" s="8" t="s">
        <v>312</v>
      </c>
      <c r="B98" s="8">
        <v>2022</v>
      </c>
      <c r="C98" s="8" t="s">
        <v>214</v>
      </c>
      <c r="D98" s="8" t="s">
        <v>215</v>
      </c>
      <c r="E98" s="8" t="s">
        <v>216</v>
      </c>
      <c r="F98" s="10">
        <v>3.93</v>
      </c>
      <c r="G98" s="1" t="str">
        <f t="shared" si="1"/>
        <v>Memory - DRAM</v>
      </c>
    </row>
    <row r="99" spans="1:7">
      <c r="A99" s="8" t="s">
        <v>313</v>
      </c>
      <c r="B99" s="8">
        <v>2022</v>
      </c>
      <c r="C99" s="8" t="s">
        <v>214</v>
      </c>
      <c r="D99" s="8" t="s">
        <v>215</v>
      </c>
      <c r="E99" s="8" t="s">
        <v>216</v>
      </c>
      <c r="F99" s="10">
        <v>3.56</v>
      </c>
      <c r="G99" s="1" t="str">
        <f t="shared" si="1"/>
        <v>Memory - DRAM</v>
      </c>
    </row>
    <row r="100" spans="1:7">
      <c r="A100" s="8" t="s">
        <v>314</v>
      </c>
      <c r="B100" s="8">
        <v>2022</v>
      </c>
      <c r="C100" s="8" t="s">
        <v>214</v>
      </c>
      <c r="D100" s="8" t="s">
        <v>215</v>
      </c>
      <c r="E100" s="8" t="s">
        <v>216</v>
      </c>
      <c r="F100" s="10">
        <v>3.75</v>
      </c>
      <c r="G100" s="1" t="str">
        <f t="shared" si="1"/>
        <v>Memory - DRAM</v>
      </c>
    </row>
    <row r="101" spans="1:7">
      <c r="A101" s="8" t="s">
        <v>315</v>
      </c>
      <c r="B101" s="8">
        <v>2022</v>
      </c>
      <c r="C101" s="8" t="s">
        <v>214</v>
      </c>
      <c r="D101" s="8" t="s">
        <v>215</v>
      </c>
      <c r="E101" s="8" t="s">
        <v>216</v>
      </c>
      <c r="F101" s="10">
        <v>3.67</v>
      </c>
      <c r="G101" s="1" t="str">
        <f t="shared" si="1"/>
        <v>Memory - DRAM</v>
      </c>
    </row>
    <row r="102" spans="1:7">
      <c r="A102" s="8" t="s">
        <v>316</v>
      </c>
      <c r="B102" s="8">
        <v>2022</v>
      </c>
      <c r="C102" s="8" t="s">
        <v>214</v>
      </c>
      <c r="D102" s="8" t="s">
        <v>215</v>
      </c>
      <c r="E102" s="8" t="s">
        <v>216</v>
      </c>
      <c r="F102" s="10">
        <v>3.82</v>
      </c>
      <c r="G102" s="1" t="str">
        <f t="shared" si="1"/>
        <v>Memory - DRAM</v>
      </c>
    </row>
    <row r="103" spans="1:7">
      <c r="A103" s="8" t="s">
        <v>317</v>
      </c>
      <c r="B103" s="8">
        <v>2022</v>
      </c>
      <c r="C103" s="8" t="s">
        <v>214</v>
      </c>
      <c r="D103" s="8" t="s">
        <v>215</v>
      </c>
      <c r="E103" s="8" t="s">
        <v>216</v>
      </c>
      <c r="F103" s="10">
        <v>3.57</v>
      </c>
      <c r="G103" s="1" t="str">
        <f t="shared" si="1"/>
        <v>Memory - DRAM</v>
      </c>
    </row>
    <row r="104" spans="1:7">
      <c r="A104" s="8" t="s">
        <v>318</v>
      </c>
      <c r="B104" s="8">
        <v>2022</v>
      </c>
      <c r="C104" s="8" t="s">
        <v>214</v>
      </c>
      <c r="D104" s="8" t="s">
        <v>215</v>
      </c>
      <c r="E104" s="8" t="s">
        <v>216</v>
      </c>
      <c r="F104" s="10">
        <v>3.26</v>
      </c>
      <c r="G104" s="1" t="str">
        <f t="shared" si="1"/>
        <v>Memory - DRAM</v>
      </c>
    </row>
    <row r="105" spans="1:7">
      <c r="A105" s="8" t="s">
        <v>319</v>
      </c>
      <c r="B105" s="8">
        <v>2022</v>
      </c>
      <c r="C105" s="8" t="s">
        <v>214</v>
      </c>
      <c r="D105" s="8" t="s">
        <v>215</v>
      </c>
      <c r="E105" s="8" t="s">
        <v>216</v>
      </c>
      <c r="F105" s="10">
        <v>3.03</v>
      </c>
      <c r="G105" s="1" t="str">
        <f t="shared" si="1"/>
        <v>Memory - DRAM</v>
      </c>
    </row>
    <row r="106" spans="1:7">
      <c r="A106" s="8" t="s">
        <v>320</v>
      </c>
      <c r="B106" s="8">
        <v>2022</v>
      </c>
      <c r="C106" s="8" t="s">
        <v>214</v>
      </c>
      <c r="D106" s="8" t="s">
        <v>215</v>
      </c>
      <c r="E106" s="8" t="s">
        <v>216</v>
      </c>
      <c r="F106" s="10">
        <v>2.98</v>
      </c>
      <c r="G106" s="1" t="str">
        <f t="shared" si="1"/>
        <v>Memory - DRAM</v>
      </c>
    </row>
    <row r="107" spans="1:7">
      <c r="A107" s="8" t="s">
        <v>321</v>
      </c>
      <c r="B107" s="8">
        <v>2022</v>
      </c>
      <c r="C107" s="8" t="s">
        <v>214</v>
      </c>
      <c r="D107" s="8" t="s">
        <v>215</v>
      </c>
      <c r="E107" s="8" t="s">
        <v>216</v>
      </c>
      <c r="F107" s="10">
        <v>2.64</v>
      </c>
      <c r="G107" s="1" t="str">
        <f t="shared" si="1"/>
        <v>Memory - DRAM</v>
      </c>
    </row>
    <row r="108" spans="1:7">
      <c r="A108" s="8" t="s">
        <v>322</v>
      </c>
      <c r="B108" s="8">
        <v>2022</v>
      </c>
      <c r="C108" s="8" t="s">
        <v>214</v>
      </c>
      <c r="D108" s="8" t="s">
        <v>215</v>
      </c>
      <c r="E108" s="8" t="s">
        <v>216</v>
      </c>
      <c r="F108" s="10">
        <v>2.2799999999999998</v>
      </c>
      <c r="G108" s="1" t="str">
        <f t="shared" si="1"/>
        <v>Memory - DRAM</v>
      </c>
    </row>
    <row r="109" spans="1:7">
      <c r="A109" s="8" t="s">
        <v>323</v>
      </c>
      <c r="B109" s="8">
        <v>2022</v>
      </c>
      <c r="C109" s="8" t="s">
        <v>214</v>
      </c>
      <c r="D109" s="8" t="s">
        <v>215</v>
      </c>
      <c r="E109" s="8" t="s">
        <v>216</v>
      </c>
      <c r="F109" s="10">
        <v>2.0499999999999998</v>
      </c>
      <c r="G109" s="1" t="str">
        <f t="shared" si="1"/>
        <v>Memory - DRAM</v>
      </c>
    </row>
    <row r="110" spans="1:7">
      <c r="A110" s="8" t="s">
        <v>324</v>
      </c>
      <c r="B110" s="8">
        <v>2023</v>
      </c>
      <c r="C110" s="8" t="s">
        <v>214</v>
      </c>
      <c r="D110" s="8" t="s">
        <v>215</v>
      </c>
      <c r="E110" s="8" t="s">
        <v>216</v>
      </c>
      <c r="F110" s="10">
        <v>1.7</v>
      </c>
      <c r="G110" s="1" t="str">
        <f t="shared" si="1"/>
        <v>Memory - DRAM</v>
      </c>
    </row>
    <row r="111" spans="1:7">
      <c r="A111" s="8" t="s">
        <v>325</v>
      </c>
      <c r="B111" s="8">
        <v>2023</v>
      </c>
      <c r="C111" s="8" t="s">
        <v>214</v>
      </c>
      <c r="D111" s="8" t="s">
        <v>215</v>
      </c>
      <c r="E111" s="8" t="s">
        <v>216</v>
      </c>
      <c r="F111" s="10">
        <v>1.78</v>
      </c>
      <c r="G111" s="1" t="str">
        <f t="shared" si="1"/>
        <v>Memory - DRAM</v>
      </c>
    </row>
    <row r="112" spans="1:7">
      <c r="A112" s="8" t="s">
        <v>326</v>
      </c>
      <c r="B112" s="8">
        <v>2023</v>
      </c>
      <c r="C112" s="8" t="s">
        <v>214</v>
      </c>
      <c r="D112" s="8" t="s">
        <v>215</v>
      </c>
      <c r="E112" s="8" t="s">
        <v>216</v>
      </c>
      <c r="F112" s="10">
        <v>1.58</v>
      </c>
      <c r="G112" s="1" t="str">
        <f t="shared" si="1"/>
        <v>Memory - DRAM</v>
      </c>
    </row>
    <row r="113" spans="1:7">
      <c r="A113" s="8" t="s">
        <v>327</v>
      </c>
      <c r="B113" s="8">
        <v>2023</v>
      </c>
      <c r="C113" s="8" t="s">
        <v>214</v>
      </c>
      <c r="D113" s="8" t="s">
        <v>215</v>
      </c>
      <c r="E113" s="8" t="s">
        <v>216</v>
      </c>
      <c r="F113" s="10">
        <v>1.68</v>
      </c>
      <c r="G113" s="1" t="str">
        <f t="shared" si="1"/>
        <v>Memory - DRAM</v>
      </c>
    </row>
    <row r="114" spans="1:7">
      <c r="A114" s="8" t="s">
        <v>328</v>
      </c>
      <c r="B114" s="8">
        <v>2023</v>
      </c>
      <c r="C114" s="8" t="s">
        <v>214</v>
      </c>
      <c r="D114" s="8" t="s">
        <v>215</v>
      </c>
      <c r="E114" s="8" t="s">
        <v>216</v>
      </c>
      <c r="F114" s="10">
        <v>1.58</v>
      </c>
      <c r="G114" s="1" t="str">
        <f t="shared" si="1"/>
        <v>Memory - DRAM</v>
      </c>
    </row>
    <row r="115" spans="1:7">
      <c r="A115" s="8" t="s">
        <v>329</v>
      </c>
      <c r="B115" s="8">
        <v>2023</v>
      </c>
      <c r="C115" s="8" t="s">
        <v>214</v>
      </c>
      <c r="D115" s="8" t="s">
        <v>215</v>
      </c>
      <c r="E115" s="8" t="s">
        <v>216</v>
      </c>
      <c r="F115" s="10">
        <v>1.66</v>
      </c>
      <c r="G115" s="1" t="str">
        <f t="shared" si="1"/>
        <v>Memory - DRAM</v>
      </c>
    </row>
    <row r="116" spans="1:7">
      <c r="A116" s="8" t="s">
        <v>330</v>
      </c>
      <c r="B116" s="8">
        <v>2023</v>
      </c>
      <c r="C116" s="8" t="s">
        <v>214</v>
      </c>
      <c r="D116" s="8" t="s">
        <v>215</v>
      </c>
      <c r="E116" s="8" t="s">
        <v>216</v>
      </c>
      <c r="F116" s="10">
        <v>1.39</v>
      </c>
      <c r="G116" s="1" t="str">
        <f t="shared" si="1"/>
        <v>Memory - DRAM</v>
      </c>
    </row>
    <row r="117" spans="1:7">
      <c r="A117" s="8" t="s">
        <v>331</v>
      </c>
      <c r="B117" s="8">
        <v>2023</v>
      </c>
      <c r="C117" s="8" t="s">
        <v>214</v>
      </c>
      <c r="D117" s="8" t="s">
        <v>215</v>
      </c>
      <c r="E117" s="8" t="s">
        <v>216</v>
      </c>
      <c r="F117" s="10">
        <v>1.38</v>
      </c>
      <c r="G117" s="1" t="str">
        <f t="shared" si="1"/>
        <v>Memory - DRAM</v>
      </c>
    </row>
    <row r="118" spans="1:7">
      <c r="A118" s="8" t="s">
        <v>332</v>
      </c>
      <c r="B118" s="8">
        <v>2023</v>
      </c>
      <c r="C118" s="8" t="s">
        <v>214</v>
      </c>
      <c r="D118" s="8" t="s">
        <v>215</v>
      </c>
      <c r="E118" s="8" t="s">
        <v>216</v>
      </c>
      <c r="F118" s="10">
        <v>1.64</v>
      </c>
      <c r="G118" s="1" t="str">
        <f t="shared" si="1"/>
        <v>Memory - DRAM</v>
      </c>
    </row>
    <row r="119" spans="1:7">
      <c r="A119" s="8" t="s">
        <v>333</v>
      </c>
      <c r="B119" s="8">
        <v>2023</v>
      </c>
      <c r="C119" s="8" t="s">
        <v>214</v>
      </c>
      <c r="D119" s="8" t="s">
        <v>215</v>
      </c>
      <c r="E119" s="8" t="s">
        <v>216</v>
      </c>
      <c r="F119" s="10">
        <v>1.73</v>
      </c>
      <c r="G119" s="1" t="str">
        <f t="shared" si="1"/>
        <v>Memory - DRAM</v>
      </c>
    </row>
    <row r="120" spans="1:7">
      <c r="A120" s="8" t="s">
        <v>334</v>
      </c>
      <c r="B120" s="8">
        <v>2023</v>
      </c>
      <c r="C120" s="8" t="s">
        <v>214</v>
      </c>
      <c r="D120" s="8" t="s">
        <v>215</v>
      </c>
      <c r="E120" s="8" t="s">
        <v>216</v>
      </c>
      <c r="F120" s="10">
        <v>1.74</v>
      </c>
      <c r="G120" s="1" t="str">
        <f t="shared" si="1"/>
        <v>Memory - DRAM</v>
      </c>
    </row>
    <row r="121" spans="1:7">
      <c r="A121" s="8" t="s">
        <v>335</v>
      </c>
      <c r="B121" s="8">
        <v>2023</v>
      </c>
      <c r="C121" s="8" t="s">
        <v>214</v>
      </c>
      <c r="D121" s="8" t="s">
        <v>215</v>
      </c>
      <c r="E121" s="8" t="s">
        <v>216</v>
      </c>
      <c r="F121" s="10">
        <v>1.93</v>
      </c>
      <c r="G121" s="1" t="str">
        <f t="shared" si="1"/>
        <v>Memory - DRAM</v>
      </c>
    </row>
    <row r="122" spans="1:7">
      <c r="A122" s="8" t="s">
        <v>336</v>
      </c>
      <c r="B122" s="8">
        <v>2024</v>
      </c>
      <c r="C122" s="8" t="s">
        <v>214</v>
      </c>
      <c r="D122" s="8" t="s">
        <v>215</v>
      </c>
      <c r="E122" s="8" t="s">
        <v>216</v>
      </c>
      <c r="F122" s="10">
        <v>2.0499999999999998</v>
      </c>
      <c r="G122" s="1" t="str">
        <f t="shared" si="1"/>
        <v>Memory - DRAM</v>
      </c>
    </row>
    <row r="123" spans="1:7">
      <c r="A123" s="8" t="s">
        <v>337</v>
      </c>
      <c r="B123" s="8">
        <v>2024</v>
      </c>
      <c r="C123" s="8" t="s">
        <v>214</v>
      </c>
      <c r="D123" s="8" t="s">
        <v>215</v>
      </c>
      <c r="E123" s="8" t="s">
        <v>216</v>
      </c>
      <c r="F123" s="10">
        <v>2.08</v>
      </c>
      <c r="G123" s="1" t="str">
        <f t="shared" si="1"/>
        <v>Memory - DRAM</v>
      </c>
    </row>
    <row r="124" spans="1:7">
      <c r="A124" s="8" t="s">
        <v>338</v>
      </c>
      <c r="B124" s="8">
        <v>2024</v>
      </c>
      <c r="C124" s="8" t="s">
        <v>214</v>
      </c>
      <c r="D124" s="8" t="s">
        <v>215</v>
      </c>
      <c r="E124" s="8" t="s">
        <v>216</v>
      </c>
      <c r="F124" s="10">
        <v>2.0099999999999998</v>
      </c>
      <c r="G124" s="1" t="str">
        <f t="shared" si="1"/>
        <v>Memory - DRAM</v>
      </c>
    </row>
    <row r="125" spans="1:7">
      <c r="A125" s="8" t="s">
        <v>339</v>
      </c>
      <c r="B125" s="8">
        <v>2024</v>
      </c>
      <c r="C125" s="8" t="s">
        <v>214</v>
      </c>
      <c r="D125" s="8" t="s">
        <v>215</v>
      </c>
      <c r="E125" s="8" t="s">
        <v>216</v>
      </c>
      <c r="F125" s="10">
        <v>2.0699999999999998</v>
      </c>
      <c r="G125" s="1" t="str">
        <f t="shared" si="1"/>
        <v>Memory - DRAM</v>
      </c>
    </row>
    <row r="126" spans="1:7">
      <c r="A126" s="8" t="s">
        <v>340</v>
      </c>
      <c r="B126" s="8">
        <v>2024</v>
      </c>
      <c r="C126" s="8" t="s">
        <v>214</v>
      </c>
      <c r="D126" s="8" t="s">
        <v>215</v>
      </c>
      <c r="E126" s="8" t="s">
        <v>216</v>
      </c>
      <c r="F126" s="10">
        <v>1.96</v>
      </c>
      <c r="G126" s="1" t="str">
        <f t="shared" si="1"/>
        <v>Memory - DRAM</v>
      </c>
    </row>
    <row r="127" spans="1:7">
      <c r="A127" s="8" t="s">
        <v>341</v>
      </c>
      <c r="B127" s="8">
        <v>2024</v>
      </c>
      <c r="C127" s="8" t="s">
        <v>214</v>
      </c>
      <c r="D127" s="8" t="s">
        <v>215</v>
      </c>
      <c r="E127" s="8" t="s">
        <v>216</v>
      </c>
      <c r="F127" s="10">
        <v>2.11</v>
      </c>
      <c r="G127" s="1" t="str">
        <f t="shared" si="1"/>
        <v>Memory - DRAM</v>
      </c>
    </row>
    <row r="128" spans="1:7">
      <c r="A128" s="8" t="s">
        <v>342</v>
      </c>
      <c r="B128" s="8">
        <v>2024</v>
      </c>
      <c r="C128" s="8" t="s">
        <v>214</v>
      </c>
      <c r="D128" s="8" t="s">
        <v>215</v>
      </c>
      <c r="E128" s="8" t="s">
        <v>216</v>
      </c>
      <c r="F128" s="10">
        <v>2.12</v>
      </c>
      <c r="G128" s="1" t="str">
        <f t="shared" si="1"/>
        <v>Memory - DRAM</v>
      </c>
    </row>
    <row r="129" spans="1:7">
      <c r="A129" s="8" t="s">
        <v>343</v>
      </c>
      <c r="B129" s="8">
        <v>2024</v>
      </c>
      <c r="C129" s="8" t="s">
        <v>214</v>
      </c>
      <c r="D129" s="8" t="s">
        <v>215</v>
      </c>
      <c r="E129" s="8" t="s">
        <v>216</v>
      </c>
      <c r="F129" s="10">
        <v>2.04</v>
      </c>
      <c r="G129" s="1" t="str">
        <f t="shared" si="1"/>
        <v>Memory - DRAM</v>
      </c>
    </row>
    <row r="130" spans="1:7">
      <c r="A130" s="8" t="s">
        <v>344</v>
      </c>
      <c r="B130" s="8">
        <v>2024</v>
      </c>
      <c r="C130" s="8" t="s">
        <v>214</v>
      </c>
      <c r="D130" s="8" t="s">
        <v>215</v>
      </c>
      <c r="E130" s="8" t="s">
        <v>216</v>
      </c>
      <c r="F130" s="10">
        <v>1.91</v>
      </c>
      <c r="G130" s="1" t="str">
        <f t="shared" si="1"/>
        <v>Memory - DRAM</v>
      </c>
    </row>
    <row r="131" spans="1:7">
      <c r="A131" s="8" t="s">
        <v>345</v>
      </c>
      <c r="B131" s="8">
        <v>2024</v>
      </c>
      <c r="C131" s="8" t="s">
        <v>214</v>
      </c>
      <c r="D131" s="8" t="s">
        <v>215</v>
      </c>
      <c r="E131" s="8" t="s">
        <v>216</v>
      </c>
      <c r="F131" s="10">
        <v>2.1</v>
      </c>
      <c r="G131" s="1" t="str">
        <f t="shared" ref="G131:G194" si="2">IF(LEFT(C131,4)="DRAM","Memory - DRAM",IF(LEFT(C131,4)="NAND","Memory - NAND",IF(LEFT(C131,3)="HBM","Memory - HBM","GPU")))</f>
        <v>Memory - DRAM</v>
      </c>
    </row>
    <row r="132" spans="1:7">
      <c r="A132" s="8" t="s">
        <v>346</v>
      </c>
      <c r="B132" s="8">
        <v>2024</v>
      </c>
      <c r="C132" s="8" t="s">
        <v>214</v>
      </c>
      <c r="D132" s="8" t="s">
        <v>215</v>
      </c>
      <c r="E132" s="8" t="s">
        <v>216</v>
      </c>
      <c r="F132" s="10">
        <v>2.0299999999999998</v>
      </c>
      <c r="G132" s="1" t="str">
        <f t="shared" si="2"/>
        <v>Memory - DRAM</v>
      </c>
    </row>
    <row r="133" spans="1:7">
      <c r="A133" s="8" t="s">
        <v>347</v>
      </c>
      <c r="B133" s="8">
        <v>2024</v>
      </c>
      <c r="C133" s="8" t="s">
        <v>214</v>
      </c>
      <c r="D133" s="8" t="s">
        <v>215</v>
      </c>
      <c r="E133" s="8" t="s">
        <v>216</v>
      </c>
      <c r="F133" s="10">
        <v>1.92</v>
      </c>
      <c r="G133" s="1" t="str">
        <f t="shared" si="2"/>
        <v>Memory - DRAM</v>
      </c>
    </row>
    <row r="134" spans="1:7">
      <c r="A134" s="8" t="s">
        <v>348</v>
      </c>
      <c r="B134" s="8">
        <v>2025</v>
      </c>
      <c r="C134" s="8" t="s">
        <v>214</v>
      </c>
      <c r="D134" s="8" t="s">
        <v>215</v>
      </c>
      <c r="E134" s="8" t="s">
        <v>216</v>
      </c>
      <c r="F134" s="10">
        <v>1.94</v>
      </c>
      <c r="G134" s="1" t="str">
        <f t="shared" si="2"/>
        <v>Memory - DRAM</v>
      </c>
    </row>
    <row r="135" spans="1:7">
      <c r="A135" s="8" t="s">
        <v>349</v>
      </c>
      <c r="B135" s="8">
        <v>2025</v>
      </c>
      <c r="C135" s="8" t="s">
        <v>214</v>
      </c>
      <c r="D135" s="8" t="s">
        <v>215</v>
      </c>
      <c r="E135" s="8" t="s">
        <v>216</v>
      </c>
      <c r="F135" s="10">
        <v>1.82</v>
      </c>
      <c r="G135" s="1" t="str">
        <f t="shared" si="2"/>
        <v>Memory - DRAM</v>
      </c>
    </row>
    <row r="136" spans="1:7">
      <c r="A136" s="8" t="s">
        <v>350</v>
      </c>
      <c r="B136" s="8">
        <v>2025</v>
      </c>
      <c r="C136" s="8" t="s">
        <v>214</v>
      </c>
      <c r="D136" s="8" t="s">
        <v>215</v>
      </c>
      <c r="E136" s="8" t="s">
        <v>216</v>
      </c>
      <c r="F136" s="10">
        <v>1.84</v>
      </c>
      <c r="G136" s="1" t="str">
        <f t="shared" si="2"/>
        <v>Memory - DRAM</v>
      </c>
    </row>
    <row r="137" spans="1:7">
      <c r="A137" s="8" t="s">
        <v>351</v>
      </c>
      <c r="B137" s="8">
        <v>2025</v>
      </c>
      <c r="C137" s="8" t="s">
        <v>214</v>
      </c>
      <c r="D137" s="8" t="s">
        <v>215</v>
      </c>
      <c r="E137" s="8" t="s">
        <v>216</v>
      </c>
      <c r="F137" s="10">
        <v>1.85</v>
      </c>
      <c r="G137" s="1" t="str">
        <f t="shared" si="2"/>
        <v>Memory - DRAM</v>
      </c>
    </row>
    <row r="138" spans="1:7">
      <c r="A138" s="8" t="s">
        <v>352</v>
      </c>
      <c r="B138" s="8">
        <v>2025</v>
      </c>
      <c r="C138" s="8" t="s">
        <v>214</v>
      </c>
      <c r="D138" s="8" t="s">
        <v>215</v>
      </c>
      <c r="E138" s="8" t="s">
        <v>216</v>
      </c>
      <c r="F138" s="10">
        <v>1.97</v>
      </c>
      <c r="G138" s="1" t="str">
        <f t="shared" si="2"/>
        <v>Memory - DRAM</v>
      </c>
    </row>
    <row r="139" spans="1:7">
      <c r="A139" s="8" t="s">
        <v>353</v>
      </c>
      <c r="B139" s="8">
        <v>2025</v>
      </c>
      <c r="C139" s="8" t="s">
        <v>214</v>
      </c>
      <c r="D139" s="8" t="s">
        <v>215</v>
      </c>
      <c r="E139" s="8" t="s">
        <v>216</v>
      </c>
      <c r="F139" s="10">
        <v>1.8</v>
      </c>
      <c r="G139" s="1" t="str">
        <f t="shared" si="2"/>
        <v>Memory - DRAM</v>
      </c>
    </row>
    <row r="140" spans="1:7">
      <c r="A140" s="8" t="s">
        <v>354</v>
      </c>
      <c r="B140" s="8">
        <v>2025</v>
      </c>
      <c r="C140" s="8" t="s">
        <v>214</v>
      </c>
      <c r="D140" s="8" t="s">
        <v>215</v>
      </c>
      <c r="E140" s="8" t="s">
        <v>216</v>
      </c>
      <c r="F140" s="10">
        <v>1.96</v>
      </c>
      <c r="G140" s="1" t="str">
        <f t="shared" si="2"/>
        <v>Memory - DRAM</v>
      </c>
    </row>
    <row r="141" spans="1:7">
      <c r="A141" s="8" t="s">
        <v>355</v>
      </c>
      <c r="B141" s="8">
        <v>2025</v>
      </c>
      <c r="C141" s="8" t="s">
        <v>214</v>
      </c>
      <c r="D141" s="8" t="s">
        <v>215</v>
      </c>
      <c r="E141" s="8" t="s">
        <v>216</v>
      </c>
      <c r="F141" s="10">
        <v>1.92</v>
      </c>
      <c r="G141" s="1" t="str">
        <f t="shared" si="2"/>
        <v>Memory - DRAM</v>
      </c>
    </row>
    <row r="142" spans="1:7">
      <c r="A142" s="8" t="s">
        <v>356</v>
      </c>
      <c r="B142" s="8">
        <v>2025</v>
      </c>
      <c r="C142" s="8" t="s">
        <v>214</v>
      </c>
      <c r="D142" s="8" t="s">
        <v>215</v>
      </c>
      <c r="E142" s="8" t="s">
        <v>216</v>
      </c>
      <c r="F142" s="10">
        <v>2.0499999999999998</v>
      </c>
      <c r="G142" s="1" t="str">
        <f t="shared" si="2"/>
        <v>Memory - DRAM</v>
      </c>
    </row>
    <row r="143" spans="1:7">
      <c r="A143" s="8" t="s">
        <v>357</v>
      </c>
      <c r="B143" s="8">
        <v>2025</v>
      </c>
      <c r="C143" s="8" t="s">
        <v>214</v>
      </c>
      <c r="D143" s="8" t="s">
        <v>215</v>
      </c>
      <c r="E143" s="8" t="s">
        <v>216</v>
      </c>
      <c r="F143" s="10">
        <v>2.0699999999999998</v>
      </c>
      <c r="G143" s="1" t="str">
        <f t="shared" si="2"/>
        <v>Memory - DRAM</v>
      </c>
    </row>
    <row r="144" spans="1:7">
      <c r="A144" s="8" t="s">
        <v>358</v>
      </c>
      <c r="B144" s="8">
        <v>2025</v>
      </c>
      <c r="C144" s="8" t="s">
        <v>214</v>
      </c>
      <c r="D144" s="8" t="s">
        <v>215</v>
      </c>
      <c r="E144" s="8" t="s">
        <v>216</v>
      </c>
      <c r="F144" s="10">
        <v>2.2200000000000002</v>
      </c>
      <c r="G144" s="1" t="str">
        <f t="shared" si="2"/>
        <v>Memory - DRAM</v>
      </c>
    </row>
    <row r="145" spans="1:7">
      <c r="A145" s="8" t="s">
        <v>359</v>
      </c>
      <c r="B145" s="8">
        <v>2025</v>
      </c>
      <c r="C145" s="8" t="s">
        <v>214</v>
      </c>
      <c r="D145" s="8" t="s">
        <v>215</v>
      </c>
      <c r="E145" s="8" t="s">
        <v>216</v>
      </c>
      <c r="F145" s="10">
        <v>2.15</v>
      </c>
      <c r="G145" s="1" t="str">
        <f t="shared" si="2"/>
        <v>Memory - DRAM</v>
      </c>
    </row>
    <row r="146" spans="1:7">
      <c r="A146" s="8" t="s">
        <v>360</v>
      </c>
      <c r="B146" s="8">
        <v>2026</v>
      </c>
      <c r="C146" s="8" t="s">
        <v>214</v>
      </c>
      <c r="D146" s="8" t="s">
        <v>215</v>
      </c>
      <c r="E146" s="8" t="s">
        <v>216</v>
      </c>
      <c r="F146" s="10">
        <v>2.09</v>
      </c>
      <c r="G146" s="1" t="str">
        <f t="shared" si="2"/>
        <v>Memory - DRAM</v>
      </c>
    </row>
    <row r="147" spans="1:7">
      <c r="A147" s="8" t="s">
        <v>361</v>
      </c>
      <c r="B147" s="8">
        <v>2026</v>
      </c>
      <c r="C147" s="8" t="s">
        <v>214</v>
      </c>
      <c r="D147" s="8" t="s">
        <v>215</v>
      </c>
      <c r="E147" s="8" t="s">
        <v>216</v>
      </c>
      <c r="F147" s="10">
        <v>2.13</v>
      </c>
      <c r="G147" s="1" t="str">
        <f t="shared" si="2"/>
        <v>Memory - DRAM</v>
      </c>
    </row>
    <row r="148" spans="1:7">
      <c r="A148" s="8" t="s">
        <v>362</v>
      </c>
      <c r="B148" s="8">
        <v>2026</v>
      </c>
      <c r="C148" s="8" t="s">
        <v>214</v>
      </c>
      <c r="D148" s="8" t="s">
        <v>215</v>
      </c>
      <c r="E148" s="8" t="s">
        <v>216</v>
      </c>
      <c r="F148" s="10">
        <v>2.23</v>
      </c>
      <c r="G148" s="1" t="str">
        <f t="shared" si="2"/>
        <v>Memory - DRAM</v>
      </c>
    </row>
    <row r="149" spans="1:7">
      <c r="A149" s="8" t="s">
        <v>363</v>
      </c>
      <c r="B149" s="8">
        <v>2026</v>
      </c>
      <c r="C149" s="8" t="s">
        <v>214</v>
      </c>
      <c r="D149" s="8" t="s">
        <v>215</v>
      </c>
      <c r="E149" s="8" t="s">
        <v>216</v>
      </c>
      <c r="F149" s="10">
        <v>2.19</v>
      </c>
      <c r="G149" s="1" t="str">
        <f t="shared" si="2"/>
        <v>Memory - DRAM</v>
      </c>
    </row>
    <row r="150" spans="1:7">
      <c r="A150" s="8" t="s">
        <v>213</v>
      </c>
      <c r="B150" s="8">
        <v>2014</v>
      </c>
      <c r="C150" s="8" t="s">
        <v>364</v>
      </c>
      <c r="D150" s="8" t="s">
        <v>215</v>
      </c>
      <c r="E150" s="8" t="s">
        <v>216</v>
      </c>
      <c r="F150" s="10">
        <v>3.25</v>
      </c>
      <c r="G150" s="1" t="str">
        <f t="shared" si="2"/>
        <v>Memory - NAND</v>
      </c>
    </row>
    <row r="151" spans="1:7">
      <c r="A151" s="8" t="s">
        <v>217</v>
      </c>
      <c r="B151" s="8">
        <v>2014</v>
      </c>
      <c r="C151" s="8" t="s">
        <v>364</v>
      </c>
      <c r="D151" s="8" t="s">
        <v>215</v>
      </c>
      <c r="E151" s="8" t="s">
        <v>216</v>
      </c>
      <c r="F151" s="10">
        <v>3.08</v>
      </c>
      <c r="G151" s="1" t="str">
        <f t="shared" si="2"/>
        <v>Memory - NAND</v>
      </c>
    </row>
    <row r="152" spans="1:7">
      <c r="A152" s="8" t="s">
        <v>218</v>
      </c>
      <c r="B152" s="8">
        <v>2014</v>
      </c>
      <c r="C152" s="8" t="s">
        <v>364</v>
      </c>
      <c r="D152" s="8" t="s">
        <v>215</v>
      </c>
      <c r="E152" s="8" t="s">
        <v>216</v>
      </c>
      <c r="F152" s="10">
        <v>3.39</v>
      </c>
      <c r="G152" s="1" t="str">
        <f t="shared" si="2"/>
        <v>Memory - NAND</v>
      </c>
    </row>
    <row r="153" spans="1:7">
      <c r="A153" s="8" t="s">
        <v>219</v>
      </c>
      <c r="B153" s="8">
        <v>2014</v>
      </c>
      <c r="C153" s="8" t="s">
        <v>364</v>
      </c>
      <c r="D153" s="8" t="s">
        <v>215</v>
      </c>
      <c r="E153" s="8" t="s">
        <v>216</v>
      </c>
      <c r="F153" s="10">
        <v>2.82</v>
      </c>
      <c r="G153" s="1" t="str">
        <f t="shared" si="2"/>
        <v>Memory - NAND</v>
      </c>
    </row>
    <row r="154" spans="1:7">
      <c r="A154" s="8" t="s">
        <v>220</v>
      </c>
      <c r="B154" s="8">
        <v>2014</v>
      </c>
      <c r="C154" s="8" t="s">
        <v>364</v>
      </c>
      <c r="D154" s="8" t="s">
        <v>215</v>
      </c>
      <c r="E154" s="8" t="s">
        <v>216</v>
      </c>
      <c r="F154" s="10">
        <v>2.99</v>
      </c>
      <c r="G154" s="1" t="str">
        <f t="shared" si="2"/>
        <v>Memory - NAND</v>
      </c>
    </row>
    <row r="155" spans="1:7">
      <c r="A155" s="8" t="s">
        <v>221</v>
      </c>
      <c r="B155" s="8">
        <v>2014</v>
      </c>
      <c r="C155" s="8" t="s">
        <v>364</v>
      </c>
      <c r="D155" s="8" t="s">
        <v>215</v>
      </c>
      <c r="E155" s="8" t="s">
        <v>216</v>
      </c>
      <c r="F155" s="10">
        <v>2.78</v>
      </c>
      <c r="G155" s="1" t="str">
        <f t="shared" si="2"/>
        <v>Memory - NAND</v>
      </c>
    </row>
    <row r="156" spans="1:7">
      <c r="A156" s="8" t="s">
        <v>222</v>
      </c>
      <c r="B156" s="8">
        <v>2014</v>
      </c>
      <c r="C156" s="8" t="s">
        <v>364</v>
      </c>
      <c r="D156" s="8" t="s">
        <v>215</v>
      </c>
      <c r="E156" s="8" t="s">
        <v>216</v>
      </c>
      <c r="F156" s="10">
        <v>2.8</v>
      </c>
      <c r="G156" s="1" t="str">
        <f t="shared" si="2"/>
        <v>Memory - NAND</v>
      </c>
    </row>
    <row r="157" spans="1:7">
      <c r="A157" s="8" t="s">
        <v>223</v>
      </c>
      <c r="B157" s="8">
        <v>2014</v>
      </c>
      <c r="C157" s="8" t="s">
        <v>364</v>
      </c>
      <c r="D157" s="8" t="s">
        <v>215</v>
      </c>
      <c r="E157" s="8" t="s">
        <v>216</v>
      </c>
      <c r="F157" s="10">
        <v>2.81</v>
      </c>
      <c r="G157" s="1" t="str">
        <f t="shared" si="2"/>
        <v>Memory - NAND</v>
      </c>
    </row>
    <row r="158" spans="1:7">
      <c r="A158" s="8" t="s">
        <v>224</v>
      </c>
      <c r="B158" s="8">
        <v>2014</v>
      </c>
      <c r="C158" s="8" t="s">
        <v>364</v>
      </c>
      <c r="D158" s="8" t="s">
        <v>215</v>
      </c>
      <c r="E158" s="8" t="s">
        <v>216</v>
      </c>
      <c r="F158" s="10">
        <v>2.4900000000000002</v>
      </c>
      <c r="G158" s="1" t="str">
        <f t="shared" si="2"/>
        <v>Memory - NAND</v>
      </c>
    </row>
    <row r="159" spans="1:7">
      <c r="A159" s="8" t="s">
        <v>225</v>
      </c>
      <c r="B159" s="8">
        <v>2014</v>
      </c>
      <c r="C159" s="8" t="s">
        <v>364</v>
      </c>
      <c r="D159" s="8" t="s">
        <v>215</v>
      </c>
      <c r="E159" s="8" t="s">
        <v>216</v>
      </c>
      <c r="F159" s="10">
        <v>2.7</v>
      </c>
      <c r="G159" s="1" t="str">
        <f t="shared" si="2"/>
        <v>Memory - NAND</v>
      </c>
    </row>
    <row r="160" spans="1:7">
      <c r="A160" s="8" t="s">
        <v>226</v>
      </c>
      <c r="B160" s="8">
        <v>2014</v>
      </c>
      <c r="C160" s="8" t="s">
        <v>364</v>
      </c>
      <c r="D160" s="8" t="s">
        <v>215</v>
      </c>
      <c r="E160" s="8" t="s">
        <v>216</v>
      </c>
      <c r="F160" s="10">
        <v>2.82</v>
      </c>
      <c r="G160" s="1" t="str">
        <f t="shared" si="2"/>
        <v>Memory - NAND</v>
      </c>
    </row>
    <row r="161" spans="1:7">
      <c r="A161" s="8" t="s">
        <v>227</v>
      </c>
      <c r="B161" s="8">
        <v>2014</v>
      </c>
      <c r="C161" s="8" t="s">
        <v>364</v>
      </c>
      <c r="D161" s="8" t="s">
        <v>215</v>
      </c>
      <c r="E161" s="8" t="s">
        <v>216</v>
      </c>
      <c r="F161" s="10">
        <v>2.5099999999999998</v>
      </c>
      <c r="G161" s="1" t="str">
        <f t="shared" si="2"/>
        <v>Memory - NAND</v>
      </c>
    </row>
    <row r="162" spans="1:7">
      <c r="A162" s="8" t="s">
        <v>228</v>
      </c>
      <c r="B162" s="8">
        <v>2015</v>
      </c>
      <c r="C162" s="8" t="s">
        <v>364</v>
      </c>
      <c r="D162" s="8" t="s">
        <v>215</v>
      </c>
      <c r="E162" s="8" t="s">
        <v>216</v>
      </c>
      <c r="F162" s="10">
        <v>2.5299999999999998</v>
      </c>
      <c r="G162" s="1" t="str">
        <f t="shared" si="2"/>
        <v>Memory - NAND</v>
      </c>
    </row>
    <row r="163" spans="1:7">
      <c r="A163" s="8" t="s">
        <v>229</v>
      </c>
      <c r="B163" s="8">
        <v>2015</v>
      </c>
      <c r="C163" s="8" t="s">
        <v>364</v>
      </c>
      <c r="D163" s="8" t="s">
        <v>215</v>
      </c>
      <c r="E163" s="8" t="s">
        <v>216</v>
      </c>
      <c r="F163" s="10">
        <v>2.56</v>
      </c>
      <c r="G163" s="1" t="str">
        <f t="shared" si="2"/>
        <v>Memory - NAND</v>
      </c>
    </row>
    <row r="164" spans="1:7">
      <c r="A164" s="8" t="s">
        <v>230</v>
      </c>
      <c r="B164" s="8">
        <v>2015</v>
      </c>
      <c r="C164" s="8" t="s">
        <v>364</v>
      </c>
      <c r="D164" s="8" t="s">
        <v>215</v>
      </c>
      <c r="E164" s="8" t="s">
        <v>216</v>
      </c>
      <c r="F164" s="10">
        <v>2.4</v>
      </c>
      <c r="G164" s="1" t="str">
        <f t="shared" si="2"/>
        <v>Memory - NAND</v>
      </c>
    </row>
    <row r="165" spans="1:7">
      <c r="A165" s="8" t="s">
        <v>231</v>
      </c>
      <c r="B165" s="8">
        <v>2015</v>
      </c>
      <c r="C165" s="8" t="s">
        <v>364</v>
      </c>
      <c r="D165" s="8" t="s">
        <v>215</v>
      </c>
      <c r="E165" s="8" t="s">
        <v>216</v>
      </c>
      <c r="F165" s="10">
        <v>2.31</v>
      </c>
      <c r="G165" s="1" t="str">
        <f t="shared" si="2"/>
        <v>Memory - NAND</v>
      </c>
    </row>
    <row r="166" spans="1:7">
      <c r="A166" s="8" t="s">
        <v>232</v>
      </c>
      <c r="B166" s="8">
        <v>2015</v>
      </c>
      <c r="C166" s="8" t="s">
        <v>364</v>
      </c>
      <c r="D166" s="8" t="s">
        <v>215</v>
      </c>
      <c r="E166" s="8" t="s">
        <v>216</v>
      </c>
      <c r="F166" s="10">
        <v>2.12</v>
      </c>
      <c r="G166" s="1" t="str">
        <f t="shared" si="2"/>
        <v>Memory - NAND</v>
      </c>
    </row>
    <row r="167" spans="1:7">
      <c r="A167" s="8" t="s">
        <v>233</v>
      </c>
      <c r="B167" s="8">
        <v>2015</v>
      </c>
      <c r="C167" s="8" t="s">
        <v>364</v>
      </c>
      <c r="D167" s="8" t="s">
        <v>215</v>
      </c>
      <c r="E167" s="8" t="s">
        <v>216</v>
      </c>
      <c r="F167" s="10">
        <v>2.33</v>
      </c>
      <c r="G167" s="1" t="str">
        <f t="shared" si="2"/>
        <v>Memory - NAND</v>
      </c>
    </row>
    <row r="168" spans="1:7">
      <c r="A168" s="8" t="s">
        <v>234</v>
      </c>
      <c r="B168" s="8">
        <v>2015</v>
      </c>
      <c r="C168" s="8" t="s">
        <v>364</v>
      </c>
      <c r="D168" s="8" t="s">
        <v>215</v>
      </c>
      <c r="E168" s="8" t="s">
        <v>216</v>
      </c>
      <c r="F168" s="10">
        <v>2.2200000000000002</v>
      </c>
      <c r="G168" s="1" t="str">
        <f t="shared" si="2"/>
        <v>Memory - NAND</v>
      </c>
    </row>
    <row r="169" spans="1:7">
      <c r="A169" s="8" t="s">
        <v>235</v>
      </c>
      <c r="B169" s="8">
        <v>2015</v>
      </c>
      <c r="C169" s="8" t="s">
        <v>364</v>
      </c>
      <c r="D169" s="8" t="s">
        <v>215</v>
      </c>
      <c r="E169" s="8" t="s">
        <v>216</v>
      </c>
      <c r="F169" s="10">
        <v>2.09</v>
      </c>
      <c r="G169" s="1" t="str">
        <f t="shared" si="2"/>
        <v>Memory - NAND</v>
      </c>
    </row>
    <row r="170" spans="1:7">
      <c r="A170" s="8" t="s">
        <v>236</v>
      </c>
      <c r="B170" s="8">
        <v>2015</v>
      </c>
      <c r="C170" s="8" t="s">
        <v>364</v>
      </c>
      <c r="D170" s="8" t="s">
        <v>215</v>
      </c>
      <c r="E170" s="8" t="s">
        <v>216</v>
      </c>
      <c r="F170" s="10">
        <v>2.14</v>
      </c>
      <c r="G170" s="1" t="str">
        <f t="shared" si="2"/>
        <v>Memory - NAND</v>
      </c>
    </row>
    <row r="171" spans="1:7">
      <c r="A171" s="8" t="s">
        <v>237</v>
      </c>
      <c r="B171" s="8">
        <v>2015</v>
      </c>
      <c r="C171" s="8" t="s">
        <v>364</v>
      </c>
      <c r="D171" s="8" t="s">
        <v>215</v>
      </c>
      <c r="E171" s="8" t="s">
        <v>216</v>
      </c>
      <c r="F171" s="10">
        <v>2.04</v>
      </c>
      <c r="G171" s="1" t="str">
        <f t="shared" si="2"/>
        <v>Memory - NAND</v>
      </c>
    </row>
    <row r="172" spans="1:7">
      <c r="A172" s="8" t="s">
        <v>238</v>
      </c>
      <c r="B172" s="8">
        <v>2015</v>
      </c>
      <c r="C172" s="8" t="s">
        <v>364</v>
      </c>
      <c r="D172" s="8" t="s">
        <v>215</v>
      </c>
      <c r="E172" s="8" t="s">
        <v>216</v>
      </c>
      <c r="F172" s="10">
        <v>2</v>
      </c>
      <c r="G172" s="1" t="str">
        <f t="shared" si="2"/>
        <v>Memory - NAND</v>
      </c>
    </row>
    <row r="173" spans="1:7">
      <c r="A173" s="8" t="s">
        <v>239</v>
      </c>
      <c r="B173" s="8">
        <v>2015</v>
      </c>
      <c r="C173" s="8" t="s">
        <v>364</v>
      </c>
      <c r="D173" s="8" t="s">
        <v>215</v>
      </c>
      <c r="E173" s="8" t="s">
        <v>216</v>
      </c>
      <c r="F173" s="10">
        <v>2.0499999999999998</v>
      </c>
      <c r="G173" s="1" t="str">
        <f t="shared" si="2"/>
        <v>Memory - NAND</v>
      </c>
    </row>
    <row r="174" spans="1:7">
      <c r="A174" s="8" t="s">
        <v>240</v>
      </c>
      <c r="B174" s="8">
        <v>2016</v>
      </c>
      <c r="C174" s="8" t="s">
        <v>364</v>
      </c>
      <c r="D174" s="8" t="s">
        <v>215</v>
      </c>
      <c r="E174" s="8" t="s">
        <v>216</v>
      </c>
      <c r="F174" s="10">
        <v>1.85</v>
      </c>
      <c r="G174" s="1" t="str">
        <f t="shared" si="2"/>
        <v>Memory - NAND</v>
      </c>
    </row>
    <row r="175" spans="1:7">
      <c r="A175" s="8" t="s">
        <v>241</v>
      </c>
      <c r="B175" s="8">
        <v>2016</v>
      </c>
      <c r="C175" s="8" t="s">
        <v>364</v>
      </c>
      <c r="D175" s="8" t="s">
        <v>215</v>
      </c>
      <c r="E175" s="8" t="s">
        <v>216</v>
      </c>
      <c r="F175" s="10">
        <v>2.17</v>
      </c>
      <c r="G175" s="1" t="str">
        <f t="shared" si="2"/>
        <v>Memory - NAND</v>
      </c>
    </row>
    <row r="176" spans="1:7">
      <c r="A176" s="8" t="s">
        <v>242</v>
      </c>
      <c r="B176" s="8">
        <v>2016</v>
      </c>
      <c r="C176" s="8" t="s">
        <v>364</v>
      </c>
      <c r="D176" s="8" t="s">
        <v>215</v>
      </c>
      <c r="E176" s="8" t="s">
        <v>216</v>
      </c>
      <c r="F176" s="10">
        <v>2.08</v>
      </c>
      <c r="G176" s="1" t="str">
        <f t="shared" si="2"/>
        <v>Memory - NAND</v>
      </c>
    </row>
    <row r="177" spans="1:7">
      <c r="A177" s="8" t="s">
        <v>243</v>
      </c>
      <c r="B177" s="8">
        <v>2016</v>
      </c>
      <c r="C177" s="8" t="s">
        <v>364</v>
      </c>
      <c r="D177" s="8" t="s">
        <v>215</v>
      </c>
      <c r="E177" s="8" t="s">
        <v>216</v>
      </c>
      <c r="F177" s="10">
        <v>2.27</v>
      </c>
      <c r="G177" s="1" t="str">
        <f t="shared" si="2"/>
        <v>Memory - NAND</v>
      </c>
    </row>
    <row r="178" spans="1:7">
      <c r="A178" s="8" t="s">
        <v>244</v>
      </c>
      <c r="B178" s="8">
        <v>2016</v>
      </c>
      <c r="C178" s="8" t="s">
        <v>364</v>
      </c>
      <c r="D178" s="8" t="s">
        <v>215</v>
      </c>
      <c r="E178" s="8" t="s">
        <v>216</v>
      </c>
      <c r="F178" s="10">
        <v>2.66</v>
      </c>
      <c r="G178" s="1" t="str">
        <f t="shared" si="2"/>
        <v>Memory - NAND</v>
      </c>
    </row>
    <row r="179" spans="1:7">
      <c r="A179" s="8" t="s">
        <v>245</v>
      </c>
      <c r="B179" s="8">
        <v>2016</v>
      </c>
      <c r="C179" s="8" t="s">
        <v>364</v>
      </c>
      <c r="D179" s="8" t="s">
        <v>215</v>
      </c>
      <c r="E179" s="8" t="s">
        <v>216</v>
      </c>
      <c r="F179" s="10">
        <v>2.71</v>
      </c>
      <c r="G179" s="1" t="str">
        <f t="shared" si="2"/>
        <v>Memory - NAND</v>
      </c>
    </row>
    <row r="180" spans="1:7">
      <c r="A180" s="8" t="s">
        <v>246</v>
      </c>
      <c r="B180" s="8">
        <v>2016</v>
      </c>
      <c r="C180" s="8" t="s">
        <v>364</v>
      </c>
      <c r="D180" s="8" t="s">
        <v>215</v>
      </c>
      <c r="E180" s="8" t="s">
        <v>216</v>
      </c>
      <c r="F180" s="10">
        <v>2.73</v>
      </c>
      <c r="G180" s="1" t="str">
        <f t="shared" si="2"/>
        <v>Memory - NAND</v>
      </c>
    </row>
    <row r="181" spans="1:7">
      <c r="A181" s="8" t="s">
        <v>247</v>
      </c>
      <c r="B181" s="8">
        <v>2016</v>
      </c>
      <c r="C181" s="8" t="s">
        <v>364</v>
      </c>
      <c r="D181" s="8" t="s">
        <v>215</v>
      </c>
      <c r="E181" s="8" t="s">
        <v>216</v>
      </c>
      <c r="F181" s="10">
        <v>2.75</v>
      </c>
      <c r="G181" s="1" t="str">
        <f t="shared" si="2"/>
        <v>Memory - NAND</v>
      </c>
    </row>
    <row r="182" spans="1:7">
      <c r="A182" s="8" t="s">
        <v>248</v>
      </c>
      <c r="B182" s="8">
        <v>2016</v>
      </c>
      <c r="C182" s="8" t="s">
        <v>364</v>
      </c>
      <c r="D182" s="8" t="s">
        <v>215</v>
      </c>
      <c r="E182" s="8" t="s">
        <v>216</v>
      </c>
      <c r="F182" s="10">
        <v>2.92</v>
      </c>
      <c r="G182" s="1" t="str">
        <f t="shared" si="2"/>
        <v>Memory - NAND</v>
      </c>
    </row>
    <row r="183" spans="1:7">
      <c r="A183" s="8" t="s">
        <v>249</v>
      </c>
      <c r="B183" s="8">
        <v>2016</v>
      </c>
      <c r="C183" s="8" t="s">
        <v>364</v>
      </c>
      <c r="D183" s="8" t="s">
        <v>215</v>
      </c>
      <c r="E183" s="8" t="s">
        <v>216</v>
      </c>
      <c r="F183" s="10">
        <v>3.12</v>
      </c>
      <c r="G183" s="1" t="str">
        <f t="shared" si="2"/>
        <v>Memory - NAND</v>
      </c>
    </row>
    <row r="184" spans="1:7">
      <c r="A184" s="8" t="s">
        <v>250</v>
      </c>
      <c r="B184" s="8">
        <v>2016</v>
      </c>
      <c r="C184" s="8" t="s">
        <v>364</v>
      </c>
      <c r="D184" s="8" t="s">
        <v>215</v>
      </c>
      <c r="E184" s="8" t="s">
        <v>216</v>
      </c>
      <c r="F184" s="10">
        <v>3.25</v>
      </c>
      <c r="G184" s="1" t="str">
        <f t="shared" si="2"/>
        <v>Memory - NAND</v>
      </c>
    </row>
    <row r="185" spans="1:7">
      <c r="A185" s="8" t="s">
        <v>251</v>
      </c>
      <c r="B185" s="8">
        <v>2016</v>
      </c>
      <c r="C185" s="8" t="s">
        <v>364</v>
      </c>
      <c r="D185" s="8" t="s">
        <v>215</v>
      </c>
      <c r="E185" s="8" t="s">
        <v>216</v>
      </c>
      <c r="F185" s="10">
        <v>3.36</v>
      </c>
      <c r="G185" s="1" t="str">
        <f t="shared" si="2"/>
        <v>Memory - NAND</v>
      </c>
    </row>
    <row r="186" spans="1:7">
      <c r="A186" s="8" t="s">
        <v>252</v>
      </c>
      <c r="B186" s="8">
        <v>2017</v>
      </c>
      <c r="C186" s="8" t="s">
        <v>364</v>
      </c>
      <c r="D186" s="8" t="s">
        <v>215</v>
      </c>
      <c r="E186" s="8" t="s">
        <v>216</v>
      </c>
      <c r="F186" s="10">
        <v>3.5</v>
      </c>
      <c r="G186" s="1" t="str">
        <f t="shared" si="2"/>
        <v>Memory - NAND</v>
      </c>
    </row>
    <row r="187" spans="1:7">
      <c r="A187" s="8" t="s">
        <v>253</v>
      </c>
      <c r="B187" s="8">
        <v>2017</v>
      </c>
      <c r="C187" s="8" t="s">
        <v>364</v>
      </c>
      <c r="D187" s="8" t="s">
        <v>215</v>
      </c>
      <c r="E187" s="8" t="s">
        <v>216</v>
      </c>
      <c r="F187" s="10">
        <v>3.65</v>
      </c>
      <c r="G187" s="1" t="str">
        <f t="shared" si="2"/>
        <v>Memory - NAND</v>
      </c>
    </row>
    <row r="188" spans="1:7">
      <c r="A188" s="8" t="s">
        <v>254</v>
      </c>
      <c r="B188" s="8">
        <v>2017</v>
      </c>
      <c r="C188" s="8" t="s">
        <v>364</v>
      </c>
      <c r="D188" s="8" t="s">
        <v>215</v>
      </c>
      <c r="E188" s="8" t="s">
        <v>216</v>
      </c>
      <c r="F188" s="10">
        <v>3.62</v>
      </c>
      <c r="G188" s="1" t="str">
        <f t="shared" si="2"/>
        <v>Memory - NAND</v>
      </c>
    </row>
    <row r="189" spans="1:7">
      <c r="A189" s="8" t="s">
        <v>255</v>
      </c>
      <c r="B189" s="8">
        <v>2017</v>
      </c>
      <c r="C189" s="8" t="s">
        <v>364</v>
      </c>
      <c r="D189" s="8" t="s">
        <v>215</v>
      </c>
      <c r="E189" s="8" t="s">
        <v>216</v>
      </c>
      <c r="F189" s="10">
        <v>3.94</v>
      </c>
      <c r="G189" s="1" t="str">
        <f t="shared" si="2"/>
        <v>Memory - NAND</v>
      </c>
    </row>
    <row r="190" spans="1:7">
      <c r="A190" s="8" t="s">
        <v>256</v>
      </c>
      <c r="B190" s="8">
        <v>2017</v>
      </c>
      <c r="C190" s="8" t="s">
        <v>364</v>
      </c>
      <c r="D190" s="8" t="s">
        <v>215</v>
      </c>
      <c r="E190" s="8" t="s">
        <v>216</v>
      </c>
      <c r="F190" s="10">
        <v>4.3499999999999996</v>
      </c>
      <c r="G190" s="1" t="str">
        <f t="shared" si="2"/>
        <v>Memory - NAND</v>
      </c>
    </row>
    <row r="191" spans="1:7">
      <c r="A191" s="8" t="s">
        <v>257</v>
      </c>
      <c r="B191" s="8">
        <v>2017</v>
      </c>
      <c r="C191" s="8" t="s">
        <v>364</v>
      </c>
      <c r="D191" s="8" t="s">
        <v>215</v>
      </c>
      <c r="E191" s="8" t="s">
        <v>216</v>
      </c>
      <c r="F191" s="10">
        <v>4.1399999999999997</v>
      </c>
      <c r="G191" s="1" t="str">
        <f t="shared" si="2"/>
        <v>Memory - NAND</v>
      </c>
    </row>
    <row r="192" spans="1:7">
      <c r="A192" s="8" t="s">
        <v>258</v>
      </c>
      <c r="B192" s="8">
        <v>2017</v>
      </c>
      <c r="C192" s="8" t="s">
        <v>364</v>
      </c>
      <c r="D192" s="8" t="s">
        <v>215</v>
      </c>
      <c r="E192" s="8" t="s">
        <v>216</v>
      </c>
      <c r="F192" s="10">
        <v>4.51</v>
      </c>
      <c r="G192" s="1" t="str">
        <f t="shared" si="2"/>
        <v>Memory - NAND</v>
      </c>
    </row>
    <row r="193" spans="1:7">
      <c r="A193" s="8" t="s">
        <v>259</v>
      </c>
      <c r="B193" s="8">
        <v>2017</v>
      </c>
      <c r="C193" s="8" t="s">
        <v>364</v>
      </c>
      <c r="D193" s="8" t="s">
        <v>215</v>
      </c>
      <c r="E193" s="8" t="s">
        <v>216</v>
      </c>
      <c r="F193" s="10">
        <v>4.57</v>
      </c>
      <c r="G193" s="1" t="str">
        <f t="shared" si="2"/>
        <v>Memory - NAND</v>
      </c>
    </row>
    <row r="194" spans="1:7">
      <c r="A194" s="8" t="s">
        <v>260</v>
      </c>
      <c r="B194" s="8">
        <v>2017</v>
      </c>
      <c r="C194" s="8" t="s">
        <v>364</v>
      </c>
      <c r="D194" s="8" t="s">
        <v>215</v>
      </c>
      <c r="E194" s="8" t="s">
        <v>216</v>
      </c>
      <c r="F194" s="10">
        <v>4.92</v>
      </c>
      <c r="G194" s="1" t="str">
        <f t="shared" si="2"/>
        <v>Memory - NAND</v>
      </c>
    </row>
    <row r="195" spans="1:7">
      <c r="A195" s="8" t="s">
        <v>261</v>
      </c>
      <c r="B195" s="8">
        <v>2017</v>
      </c>
      <c r="C195" s="8" t="s">
        <v>364</v>
      </c>
      <c r="D195" s="8" t="s">
        <v>215</v>
      </c>
      <c r="E195" s="8" t="s">
        <v>216</v>
      </c>
      <c r="F195" s="10">
        <v>4.99</v>
      </c>
      <c r="G195" s="1" t="str">
        <f t="shared" ref="G195:G258" si="3">IF(LEFT(C195,4)="DRAM","Memory - DRAM",IF(LEFT(C195,4)="NAND","Memory - NAND",IF(LEFT(C195,3)="HBM","Memory - HBM","GPU")))</f>
        <v>Memory - NAND</v>
      </c>
    </row>
    <row r="196" spans="1:7">
      <c r="A196" s="8" t="s">
        <v>262</v>
      </c>
      <c r="B196" s="8">
        <v>2017</v>
      </c>
      <c r="C196" s="8" t="s">
        <v>364</v>
      </c>
      <c r="D196" s="8" t="s">
        <v>215</v>
      </c>
      <c r="E196" s="8" t="s">
        <v>216</v>
      </c>
      <c r="F196" s="10">
        <v>5.57</v>
      </c>
      <c r="G196" s="1" t="str">
        <f t="shared" si="3"/>
        <v>Memory - NAND</v>
      </c>
    </row>
    <row r="197" spans="1:7">
      <c r="A197" s="8" t="s">
        <v>263</v>
      </c>
      <c r="B197" s="8">
        <v>2017</v>
      </c>
      <c r="C197" s="8" t="s">
        <v>364</v>
      </c>
      <c r="D197" s="8" t="s">
        <v>215</v>
      </c>
      <c r="E197" s="8" t="s">
        <v>216</v>
      </c>
      <c r="F197" s="10">
        <v>5.53</v>
      </c>
      <c r="G197" s="1" t="str">
        <f t="shared" si="3"/>
        <v>Memory - NAND</v>
      </c>
    </row>
    <row r="198" spans="1:7">
      <c r="A198" s="8" t="s">
        <v>264</v>
      </c>
      <c r="B198" s="8">
        <v>2018</v>
      </c>
      <c r="C198" s="8" t="s">
        <v>364</v>
      </c>
      <c r="D198" s="8" t="s">
        <v>215</v>
      </c>
      <c r="E198" s="8" t="s">
        <v>216</v>
      </c>
      <c r="F198" s="10">
        <v>5.31</v>
      </c>
      <c r="G198" s="1" t="str">
        <f t="shared" si="3"/>
        <v>Memory - NAND</v>
      </c>
    </row>
    <row r="199" spans="1:7">
      <c r="A199" s="8" t="s">
        <v>265</v>
      </c>
      <c r="B199" s="8">
        <v>2018</v>
      </c>
      <c r="C199" s="8" t="s">
        <v>364</v>
      </c>
      <c r="D199" s="8" t="s">
        <v>215</v>
      </c>
      <c r="E199" s="8" t="s">
        <v>216</v>
      </c>
      <c r="F199" s="10">
        <v>5.61</v>
      </c>
      <c r="G199" s="1" t="str">
        <f t="shared" si="3"/>
        <v>Memory - NAND</v>
      </c>
    </row>
    <row r="200" spans="1:7">
      <c r="A200" s="8" t="s">
        <v>266</v>
      </c>
      <c r="B200" s="8">
        <v>2018</v>
      </c>
      <c r="C200" s="8" t="s">
        <v>364</v>
      </c>
      <c r="D200" s="8" t="s">
        <v>215</v>
      </c>
      <c r="E200" s="8" t="s">
        <v>216</v>
      </c>
      <c r="F200" s="10">
        <v>5.17</v>
      </c>
      <c r="G200" s="1" t="str">
        <f t="shared" si="3"/>
        <v>Memory - NAND</v>
      </c>
    </row>
    <row r="201" spans="1:7">
      <c r="A201" s="8" t="s">
        <v>267</v>
      </c>
      <c r="B201" s="8">
        <v>2018</v>
      </c>
      <c r="C201" s="8" t="s">
        <v>364</v>
      </c>
      <c r="D201" s="8" t="s">
        <v>215</v>
      </c>
      <c r="E201" s="8" t="s">
        <v>216</v>
      </c>
      <c r="F201" s="10">
        <v>5.07</v>
      </c>
      <c r="G201" s="1" t="str">
        <f t="shared" si="3"/>
        <v>Memory - NAND</v>
      </c>
    </row>
    <row r="202" spans="1:7">
      <c r="A202" s="8" t="s">
        <v>268</v>
      </c>
      <c r="B202" s="8">
        <v>2018</v>
      </c>
      <c r="C202" s="8" t="s">
        <v>364</v>
      </c>
      <c r="D202" s="8" t="s">
        <v>215</v>
      </c>
      <c r="E202" s="8" t="s">
        <v>216</v>
      </c>
      <c r="F202" s="10">
        <v>5.12</v>
      </c>
      <c r="G202" s="1" t="str">
        <f t="shared" si="3"/>
        <v>Memory - NAND</v>
      </c>
    </row>
    <row r="203" spans="1:7">
      <c r="A203" s="8" t="s">
        <v>269</v>
      </c>
      <c r="B203" s="8">
        <v>2018</v>
      </c>
      <c r="C203" s="8" t="s">
        <v>364</v>
      </c>
      <c r="D203" s="8" t="s">
        <v>215</v>
      </c>
      <c r="E203" s="8" t="s">
        <v>216</v>
      </c>
      <c r="F203" s="10">
        <v>4.82</v>
      </c>
      <c r="G203" s="1" t="str">
        <f t="shared" si="3"/>
        <v>Memory - NAND</v>
      </c>
    </row>
    <row r="204" spans="1:7">
      <c r="A204" s="8" t="s">
        <v>270</v>
      </c>
      <c r="B204" s="8">
        <v>2018</v>
      </c>
      <c r="C204" s="8" t="s">
        <v>364</v>
      </c>
      <c r="D204" s="8" t="s">
        <v>215</v>
      </c>
      <c r="E204" s="8" t="s">
        <v>216</v>
      </c>
      <c r="F204" s="10">
        <v>4.96</v>
      </c>
      <c r="G204" s="1" t="str">
        <f t="shared" si="3"/>
        <v>Memory - NAND</v>
      </c>
    </row>
    <row r="205" spans="1:7">
      <c r="A205" s="8" t="s">
        <v>271</v>
      </c>
      <c r="B205" s="8">
        <v>2018</v>
      </c>
      <c r="C205" s="8" t="s">
        <v>364</v>
      </c>
      <c r="D205" s="8" t="s">
        <v>215</v>
      </c>
      <c r="E205" s="8" t="s">
        <v>216</v>
      </c>
      <c r="F205" s="10">
        <v>4.5</v>
      </c>
      <c r="G205" s="1" t="str">
        <f t="shared" si="3"/>
        <v>Memory - NAND</v>
      </c>
    </row>
    <row r="206" spans="1:7">
      <c r="A206" s="8" t="s">
        <v>272</v>
      </c>
      <c r="B206" s="8">
        <v>2018</v>
      </c>
      <c r="C206" s="8" t="s">
        <v>364</v>
      </c>
      <c r="D206" s="8" t="s">
        <v>215</v>
      </c>
      <c r="E206" s="8" t="s">
        <v>216</v>
      </c>
      <c r="F206" s="10">
        <v>4.3899999999999997</v>
      </c>
      <c r="G206" s="1" t="str">
        <f t="shared" si="3"/>
        <v>Memory - NAND</v>
      </c>
    </row>
    <row r="207" spans="1:7">
      <c r="A207" s="8" t="s">
        <v>273</v>
      </c>
      <c r="B207" s="8">
        <v>2018</v>
      </c>
      <c r="C207" s="8" t="s">
        <v>364</v>
      </c>
      <c r="D207" s="8" t="s">
        <v>215</v>
      </c>
      <c r="E207" s="8" t="s">
        <v>216</v>
      </c>
      <c r="F207" s="10">
        <v>4.25</v>
      </c>
      <c r="G207" s="1" t="str">
        <f t="shared" si="3"/>
        <v>Memory - NAND</v>
      </c>
    </row>
    <row r="208" spans="1:7">
      <c r="A208" s="8" t="s">
        <v>274</v>
      </c>
      <c r="B208" s="8">
        <v>2018</v>
      </c>
      <c r="C208" s="8" t="s">
        <v>364</v>
      </c>
      <c r="D208" s="8" t="s">
        <v>215</v>
      </c>
      <c r="E208" s="8" t="s">
        <v>216</v>
      </c>
      <c r="F208" s="10">
        <v>4.13</v>
      </c>
      <c r="G208" s="1" t="str">
        <f t="shared" si="3"/>
        <v>Memory - NAND</v>
      </c>
    </row>
    <row r="209" spans="1:7">
      <c r="A209" s="8" t="s">
        <v>275</v>
      </c>
      <c r="B209" s="8">
        <v>2018</v>
      </c>
      <c r="C209" s="8" t="s">
        <v>364</v>
      </c>
      <c r="D209" s="8" t="s">
        <v>215</v>
      </c>
      <c r="E209" s="8" t="s">
        <v>216</v>
      </c>
      <c r="F209" s="10">
        <v>4.2699999999999996</v>
      </c>
      <c r="G209" s="1" t="str">
        <f t="shared" si="3"/>
        <v>Memory - NAND</v>
      </c>
    </row>
    <row r="210" spans="1:7">
      <c r="A210" s="8" t="s">
        <v>276</v>
      </c>
      <c r="B210" s="8">
        <v>2019</v>
      </c>
      <c r="C210" s="8" t="s">
        <v>364</v>
      </c>
      <c r="D210" s="8" t="s">
        <v>215</v>
      </c>
      <c r="E210" s="8" t="s">
        <v>216</v>
      </c>
      <c r="F210" s="10">
        <v>4.05</v>
      </c>
      <c r="G210" s="1" t="str">
        <f t="shared" si="3"/>
        <v>Memory - NAND</v>
      </c>
    </row>
    <row r="211" spans="1:7">
      <c r="A211" s="8" t="s">
        <v>277</v>
      </c>
      <c r="B211" s="8">
        <v>2019</v>
      </c>
      <c r="C211" s="8" t="s">
        <v>364</v>
      </c>
      <c r="D211" s="8" t="s">
        <v>215</v>
      </c>
      <c r="E211" s="8" t="s">
        <v>216</v>
      </c>
      <c r="F211" s="10">
        <v>4.25</v>
      </c>
      <c r="G211" s="1" t="str">
        <f t="shared" si="3"/>
        <v>Memory - NAND</v>
      </c>
    </row>
    <row r="212" spans="1:7">
      <c r="A212" s="8" t="s">
        <v>278</v>
      </c>
      <c r="B212" s="8">
        <v>2019</v>
      </c>
      <c r="C212" s="8" t="s">
        <v>364</v>
      </c>
      <c r="D212" s="8" t="s">
        <v>215</v>
      </c>
      <c r="E212" s="8" t="s">
        <v>216</v>
      </c>
      <c r="F212" s="10">
        <v>4.37</v>
      </c>
      <c r="G212" s="1" t="str">
        <f t="shared" si="3"/>
        <v>Memory - NAND</v>
      </c>
    </row>
    <row r="213" spans="1:7">
      <c r="A213" s="8" t="s">
        <v>279</v>
      </c>
      <c r="B213" s="8">
        <v>2019</v>
      </c>
      <c r="C213" s="8" t="s">
        <v>364</v>
      </c>
      <c r="D213" s="8" t="s">
        <v>215</v>
      </c>
      <c r="E213" s="8" t="s">
        <v>216</v>
      </c>
      <c r="F213" s="10">
        <v>3.85</v>
      </c>
      <c r="G213" s="1" t="str">
        <f t="shared" si="3"/>
        <v>Memory - NAND</v>
      </c>
    </row>
    <row r="214" spans="1:7">
      <c r="A214" s="8" t="s">
        <v>280</v>
      </c>
      <c r="B214" s="8">
        <v>2019</v>
      </c>
      <c r="C214" s="8" t="s">
        <v>364</v>
      </c>
      <c r="D214" s="8" t="s">
        <v>215</v>
      </c>
      <c r="E214" s="8" t="s">
        <v>216</v>
      </c>
      <c r="F214" s="10">
        <v>4.04</v>
      </c>
      <c r="G214" s="1" t="str">
        <f t="shared" si="3"/>
        <v>Memory - NAND</v>
      </c>
    </row>
    <row r="215" spans="1:7">
      <c r="A215" s="8" t="s">
        <v>281</v>
      </c>
      <c r="B215" s="8">
        <v>2019</v>
      </c>
      <c r="C215" s="8" t="s">
        <v>364</v>
      </c>
      <c r="D215" s="8" t="s">
        <v>215</v>
      </c>
      <c r="E215" s="8" t="s">
        <v>216</v>
      </c>
      <c r="F215" s="10">
        <v>3.87</v>
      </c>
      <c r="G215" s="1" t="str">
        <f t="shared" si="3"/>
        <v>Memory - NAND</v>
      </c>
    </row>
    <row r="216" spans="1:7">
      <c r="A216" s="8" t="s">
        <v>282</v>
      </c>
      <c r="B216" s="8">
        <v>2019</v>
      </c>
      <c r="C216" s="8" t="s">
        <v>364</v>
      </c>
      <c r="D216" s="8" t="s">
        <v>215</v>
      </c>
      <c r="E216" s="8" t="s">
        <v>216</v>
      </c>
      <c r="F216" s="10">
        <v>3.95</v>
      </c>
      <c r="G216" s="1" t="str">
        <f t="shared" si="3"/>
        <v>Memory - NAND</v>
      </c>
    </row>
    <row r="217" spans="1:7">
      <c r="A217" s="8" t="s">
        <v>283</v>
      </c>
      <c r="B217" s="8">
        <v>2019</v>
      </c>
      <c r="C217" s="8" t="s">
        <v>364</v>
      </c>
      <c r="D217" s="8" t="s">
        <v>215</v>
      </c>
      <c r="E217" s="8" t="s">
        <v>216</v>
      </c>
      <c r="F217" s="10">
        <v>3.99</v>
      </c>
      <c r="G217" s="1" t="str">
        <f t="shared" si="3"/>
        <v>Memory - NAND</v>
      </c>
    </row>
    <row r="218" spans="1:7">
      <c r="A218" s="8" t="s">
        <v>284</v>
      </c>
      <c r="B218" s="8">
        <v>2019</v>
      </c>
      <c r="C218" s="8" t="s">
        <v>364</v>
      </c>
      <c r="D218" s="8" t="s">
        <v>215</v>
      </c>
      <c r="E218" s="8" t="s">
        <v>216</v>
      </c>
      <c r="F218" s="10">
        <v>3.95</v>
      </c>
      <c r="G218" s="1" t="str">
        <f t="shared" si="3"/>
        <v>Memory - NAND</v>
      </c>
    </row>
    <row r="219" spans="1:7">
      <c r="A219" s="8" t="s">
        <v>285</v>
      </c>
      <c r="B219" s="8">
        <v>2019</v>
      </c>
      <c r="C219" s="8" t="s">
        <v>364</v>
      </c>
      <c r="D219" s="8" t="s">
        <v>215</v>
      </c>
      <c r="E219" s="8" t="s">
        <v>216</v>
      </c>
      <c r="F219" s="10">
        <v>3.97</v>
      </c>
      <c r="G219" s="1" t="str">
        <f t="shared" si="3"/>
        <v>Memory - NAND</v>
      </c>
    </row>
    <row r="220" spans="1:7">
      <c r="A220" s="8" t="s">
        <v>286</v>
      </c>
      <c r="B220" s="8">
        <v>2019</v>
      </c>
      <c r="C220" s="8" t="s">
        <v>364</v>
      </c>
      <c r="D220" s="8" t="s">
        <v>215</v>
      </c>
      <c r="E220" s="8" t="s">
        <v>216</v>
      </c>
      <c r="F220" s="10">
        <v>4.13</v>
      </c>
      <c r="G220" s="1" t="str">
        <f t="shared" si="3"/>
        <v>Memory - NAND</v>
      </c>
    </row>
    <row r="221" spans="1:7">
      <c r="A221" s="8" t="s">
        <v>287</v>
      </c>
      <c r="B221" s="8">
        <v>2019</v>
      </c>
      <c r="C221" s="8" t="s">
        <v>364</v>
      </c>
      <c r="D221" s="8" t="s">
        <v>215</v>
      </c>
      <c r="E221" s="8" t="s">
        <v>216</v>
      </c>
      <c r="F221" s="10">
        <v>3.98</v>
      </c>
      <c r="G221" s="1" t="str">
        <f t="shared" si="3"/>
        <v>Memory - NAND</v>
      </c>
    </row>
    <row r="222" spans="1:7">
      <c r="A222" s="8" t="s">
        <v>288</v>
      </c>
      <c r="B222" s="8">
        <v>2020</v>
      </c>
      <c r="C222" s="8" t="s">
        <v>364</v>
      </c>
      <c r="D222" s="8" t="s">
        <v>215</v>
      </c>
      <c r="E222" s="8" t="s">
        <v>216</v>
      </c>
      <c r="F222" s="10">
        <v>4.34</v>
      </c>
      <c r="G222" s="1" t="str">
        <f t="shared" si="3"/>
        <v>Memory - NAND</v>
      </c>
    </row>
    <row r="223" spans="1:7">
      <c r="A223" s="8" t="s">
        <v>289</v>
      </c>
      <c r="B223" s="8">
        <v>2020</v>
      </c>
      <c r="C223" s="8" t="s">
        <v>364</v>
      </c>
      <c r="D223" s="8" t="s">
        <v>215</v>
      </c>
      <c r="E223" s="8" t="s">
        <v>216</v>
      </c>
      <c r="F223" s="10">
        <v>4.0999999999999996</v>
      </c>
      <c r="G223" s="1" t="str">
        <f t="shared" si="3"/>
        <v>Memory - NAND</v>
      </c>
    </row>
    <row r="224" spans="1:7">
      <c r="A224" s="8" t="s">
        <v>290</v>
      </c>
      <c r="B224" s="8">
        <v>2020</v>
      </c>
      <c r="C224" s="8" t="s">
        <v>364</v>
      </c>
      <c r="D224" s="8" t="s">
        <v>215</v>
      </c>
      <c r="E224" s="8" t="s">
        <v>216</v>
      </c>
      <c r="F224" s="10">
        <v>4.8099999999999996</v>
      </c>
      <c r="G224" s="1" t="str">
        <f t="shared" si="3"/>
        <v>Memory - NAND</v>
      </c>
    </row>
    <row r="225" spans="1:7">
      <c r="A225" s="8" t="s">
        <v>291</v>
      </c>
      <c r="B225" s="8">
        <v>2020</v>
      </c>
      <c r="C225" s="8" t="s">
        <v>364</v>
      </c>
      <c r="D225" s="8" t="s">
        <v>215</v>
      </c>
      <c r="E225" s="8" t="s">
        <v>216</v>
      </c>
      <c r="F225" s="10">
        <v>4.2699999999999996</v>
      </c>
      <c r="G225" s="1" t="str">
        <f t="shared" si="3"/>
        <v>Memory - NAND</v>
      </c>
    </row>
    <row r="226" spans="1:7">
      <c r="A226" s="8" t="s">
        <v>292</v>
      </c>
      <c r="B226" s="8">
        <v>2020</v>
      </c>
      <c r="C226" s="8" t="s">
        <v>364</v>
      </c>
      <c r="D226" s="8" t="s">
        <v>215</v>
      </c>
      <c r="E226" s="8" t="s">
        <v>216</v>
      </c>
      <c r="F226" s="10">
        <v>4.41</v>
      </c>
      <c r="G226" s="1" t="str">
        <f t="shared" si="3"/>
        <v>Memory - NAND</v>
      </c>
    </row>
    <row r="227" spans="1:7">
      <c r="A227" s="8" t="s">
        <v>293</v>
      </c>
      <c r="B227" s="8">
        <v>2020</v>
      </c>
      <c r="C227" s="8" t="s">
        <v>364</v>
      </c>
      <c r="D227" s="8" t="s">
        <v>215</v>
      </c>
      <c r="E227" s="8" t="s">
        <v>216</v>
      </c>
      <c r="F227" s="10">
        <v>4.2300000000000004</v>
      </c>
      <c r="G227" s="1" t="str">
        <f t="shared" si="3"/>
        <v>Memory - NAND</v>
      </c>
    </row>
    <row r="228" spans="1:7">
      <c r="A228" s="8" t="s">
        <v>294</v>
      </c>
      <c r="B228" s="8">
        <v>2020</v>
      </c>
      <c r="C228" s="8" t="s">
        <v>364</v>
      </c>
      <c r="D228" s="8" t="s">
        <v>215</v>
      </c>
      <c r="E228" s="8" t="s">
        <v>216</v>
      </c>
      <c r="F228" s="10">
        <v>4.82</v>
      </c>
      <c r="G228" s="1" t="str">
        <f t="shared" si="3"/>
        <v>Memory - NAND</v>
      </c>
    </row>
    <row r="229" spans="1:7">
      <c r="A229" s="8" t="s">
        <v>295</v>
      </c>
      <c r="B229" s="8">
        <v>2020</v>
      </c>
      <c r="C229" s="8" t="s">
        <v>364</v>
      </c>
      <c r="D229" s="8" t="s">
        <v>215</v>
      </c>
      <c r="E229" s="8" t="s">
        <v>216</v>
      </c>
      <c r="F229" s="10">
        <v>4.76</v>
      </c>
      <c r="G229" s="1" t="str">
        <f t="shared" si="3"/>
        <v>Memory - NAND</v>
      </c>
    </row>
    <row r="230" spans="1:7">
      <c r="A230" s="8" t="s">
        <v>296</v>
      </c>
      <c r="B230" s="8">
        <v>2020</v>
      </c>
      <c r="C230" s="8" t="s">
        <v>364</v>
      </c>
      <c r="D230" s="8" t="s">
        <v>215</v>
      </c>
      <c r="E230" s="8" t="s">
        <v>216</v>
      </c>
      <c r="F230" s="10">
        <v>4.66</v>
      </c>
      <c r="G230" s="1" t="str">
        <f t="shared" si="3"/>
        <v>Memory - NAND</v>
      </c>
    </row>
    <row r="231" spans="1:7">
      <c r="A231" s="8" t="s">
        <v>297</v>
      </c>
      <c r="B231" s="8">
        <v>2020</v>
      </c>
      <c r="C231" s="8" t="s">
        <v>364</v>
      </c>
      <c r="D231" s="8" t="s">
        <v>215</v>
      </c>
      <c r="E231" s="8" t="s">
        <v>216</v>
      </c>
      <c r="F231" s="10">
        <v>4.41</v>
      </c>
      <c r="G231" s="1" t="str">
        <f t="shared" si="3"/>
        <v>Memory - NAND</v>
      </c>
    </row>
    <row r="232" spans="1:7">
      <c r="A232" s="8" t="s">
        <v>298</v>
      </c>
      <c r="B232" s="8">
        <v>2020</v>
      </c>
      <c r="C232" s="8" t="s">
        <v>364</v>
      </c>
      <c r="D232" s="8" t="s">
        <v>215</v>
      </c>
      <c r="E232" s="8" t="s">
        <v>216</v>
      </c>
      <c r="F232" s="10">
        <v>4.75</v>
      </c>
      <c r="G232" s="1" t="str">
        <f t="shared" si="3"/>
        <v>Memory - NAND</v>
      </c>
    </row>
    <row r="233" spans="1:7">
      <c r="A233" s="8" t="s">
        <v>299</v>
      </c>
      <c r="B233" s="8">
        <v>2020</v>
      </c>
      <c r="C233" s="8" t="s">
        <v>364</v>
      </c>
      <c r="D233" s="8" t="s">
        <v>215</v>
      </c>
      <c r="E233" s="8" t="s">
        <v>216</v>
      </c>
      <c r="F233" s="10">
        <v>4.55</v>
      </c>
      <c r="G233" s="1" t="str">
        <f t="shared" si="3"/>
        <v>Memory - NAND</v>
      </c>
    </row>
    <row r="234" spans="1:7">
      <c r="A234" s="8" t="s">
        <v>300</v>
      </c>
      <c r="B234" s="8">
        <v>2021</v>
      </c>
      <c r="C234" s="8" t="s">
        <v>364</v>
      </c>
      <c r="D234" s="8" t="s">
        <v>215</v>
      </c>
      <c r="E234" s="8" t="s">
        <v>216</v>
      </c>
      <c r="F234" s="10">
        <v>5.0999999999999996</v>
      </c>
      <c r="G234" s="1" t="str">
        <f t="shared" si="3"/>
        <v>Memory - NAND</v>
      </c>
    </row>
    <row r="235" spans="1:7">
      <c r="A235" s="8" t="s">
        <v>301</v>
      </c>
      <c r="B235" s="8">
        <v>2021</v>
      </c>
      <c r="C235" s="8" t="s">
        <v>364</v>
      </c>
      <c r="D235" s="8" t="s">
        <v>215</v>
      </c>
      <c r="E235" s="8" t="s">
        <v>216</v>
      </c>
      <c r="F235" s="10">
        <v>4.97</v>
      </c>
      <c r="G235" s="1" t="str">
        <f t="shared" si="3"/>
        <v>Memory - NAND</v>
      </c>
    </row>
    <row r="236" spans="1:7">
      <c r="A236" s="8" t="s">
        <v>302</v>
      </c>
      <c r="B236" s="8">
        <v>2021</v>
      </c>
      <c r="C236" s="8" t="s">
        <v>364</v>
      </c>
      <c r="D236" s="8" t="s">
        <v>215</v>
      </c>
      <c r="E236" s="8" t="s">
        <v>216</v>
      </c>
      <c r="F236" s="10">
        <v>4.83</v>
      </c>
      <c r="G236" s="1" t="str">
        <f t="shared" si="3"/>
        <v>Memory - NAND</v>
      </c>
    </row>
    <row r="237" spans="1:7">
      <c r="A237" s="8" t="s">
        <v>303</v>
      </c>
      <c r="B237" s="8">
        <v>2021</v>
      </c>
      <c r="C237" s="8" t="s">
        <v>364</v>
      </c>
      <c r="D237" s="8" t="s">
        <v>215</v>
      </c>
      <c r="E237" s="8" t="s">
        <v>216</v>
      </c>
      <c r="F237" s="10">
        <v>4.3600000000000003</v>
      </c>
      <c r="G237" s="1" t="str">
        <f t="shared" si="3"/>
        <v>Memory - NAND</v>
      </c>
    </row>
    <row r="238" spans="1:7">
      <c r="A238" s="8" t="s">
        <v>304</v>
      </c>
      <c r="B238" s="8">
        <v>2021</v>
      </c>
      <c r="C238" s="8" t="s">
        <v>364</v>
      </c>
      <c r="D238" s="8" t="s">
        <v>215</v>
      </c>
      <c r="E238" s="8" t="s">
        <v>216</v>
      </c>
      <c r="F238" s="10">
        <v>4.62</v>
      </c>
      <c r="G238" s="1" t="str">
        <f t="shared" si="3"/>
        <v>Memory - NAND</v>
      </c>
    </row>
    <row r="239" spans="1:7">
      <c r="A239" s="8" t="s">
        <v>305</v>
      </c>
      <c r="B239" s="8">
        <v>2021</v>
      </c>
      <c r="C239" s="8" t="s">
        <v>364</v>
      </c>
      <c r="D239" s="8" t="s">
        <v>215</v>
      </c>
      <c r="E239" s="8" t="s">
        <v>216</v>
      </c>
      <c r="F239" s="10">
        <v>4.9400000000000004</v>
      </c>
      <c r="G239" s="1" t="str">
        <f t="shared" si="3"/>
        <v>Memory - NAND</v>
      </c>
    </row>
    <row r="240" spans="1:7">
      <c r="A240" s="8" t="s">
        <v>306</v>
      </c>
      <c r="B240" s="8">
        <v>2021</v>
      </c>
      <c r="C240" s="8" t="s">
        <v>364</v>
      </c>
      <c r="D240" s="8" t="s">
        <v>215</v>
      </c>
      <c r="E240" s="8" t="s">
        <v>216</v>
      </c>
      <c r="F240" s="10">
        <v>5.05</v>
      </c>
      <c r="G240" s="1" t="str">
        <f t="shared" si="3"/>
        <v>Memory - NAND</v>
      </c>
    </row>
    <row r="241" spans="1:7">
      <c r="A241" s="8" t="s">
        <v>307</v>
      </c>
      <c r="B241" s="8">
        <v>2021</v>
      </c>
      <c r="C241" s="8" t="s">
        <v>364</v>
      </c>
      <c r="D241" s="8" t="s">
        <v>215</v>
      </c>
      <c r="E241" s="8" t="s">
        <v>216</v>
      </c>
      <c r="F241" s="10">
        <v>5.03</v>
      </c>
      <c r="G241" s="1" t="str">
        <f t="shared" si="3"/>
        <v>Memory - NAND</v>
      </c>
    </row>
    <row r="242" spans="1:7">
      <c r="A242" s="8" t="s">
        <v>308</v>
      </c>
      <c r="B242" s="8">
        <v>2021</v>
      </c>
      <c r="C242" s="8" t="s">
        <v>364</v>
      </c>
      <c r="D242" s="8" t="s">
        <v>215</v>
      </c>
      <c r="E242" s="8" t="s">
        <v>216</v>
      </c>
      <c r="F242" s="10">
        <v>4.51</v>
      </c>
      <c r="G242" s="1" t="str">
        <f t="shared" si="3"/>
        <v>Memory - NAND</v>
      </c>
    </row>
    <row r="243" spans="1:7">
      <c r="A243" s="8" t="s">
        <v>309</v>
      </c>
      <c r="B243" s="8">
        <v>2021</v>
      </c>
      <c r="C243" s="8" t="s">
        <v>364</v>
      </c>
      <c r="D243" s="8" t="s">
        <v>215</v>
      </c>
      <c r="E243" s="8" t="s">
        <v>216</v>
      </c>
      <c r="F243" s="10">
        <v>4.87</v>
      </c>
      <c r="G243" s="1" t="str">
        <f t="shared" si="3"/>
        <v>Memory - NAND</v>
      </c>
    </row>
    <row r="244" spans="1:7">
      <c r="A244" s="8" t="s">
        <v>310</v>
      </c>
      <c r="B244" s="8">
        <v>2021</v>
      </c>
      <c r="C244" s="8" t="s">
        <v>364</v>
      </c>
      <c r="D244" s="8" t="s">
        <v>215</v>
      </c>
      <c r="E244" s="8" t="s">
        <v>216</v>
      </c>
      <c r="F244" s="10">
        <v>5.01</v>
      </c>
      <c r="G244" s="1" t="str">
        <f t="shared" si="3"/>
        <v>Memory - NAND</v>
      </c>
    </row>
    <row r="245" spans="1:7">
      <c r="A245" s="8" t="s">
        <v>311</v>
      </c>
      <c r="B245" s="8">
        <v>2021</v>
      </c>
      <c r="C245" s="8" t="s">
        <v>364</v>
      </c>
      <c r="D245" s="8" t="s">
        <v>215</v>
      </c>
      <c r="E245" s="8" t="s">
        <v>216</v>
      </c>
      <c r="F245" s="10">
        <v>4.5</v>
      </c>
      <c r="G245" s="1" t="str">
        <f t="shared" si="3"/>
        <v>Memory - NAND</v>
      </c>
    </row>
    <row r="246" spans="1:7">
      <c r="A246" s="8" t="s">
        <v>312</v>
      </c>
      <c r="B246" s="8">
        <v>2022</v>
      </c>
      <c r="C246" s="8" t="s">
        <v>364</v>
      </c>
      <c r="D246" s="8" t="s">
        <v>215</v>
      </c>
      <c r="E246" s="8" t="s">
        <v>216</v>
      </c>
      <c r="F246" s="10">
        <v>4.8099999999999996</v>
      </c>
      <c r="G246" s="1" t="str">
        <f t="shared" si="3"/>
        <v>Memory - NAND</v>
      </c>
    </row>
    <row r="247" spans="1:7">
      <c r="A247" s="8" t="s">
        <v>313</v>
      </c>
      <c r="B247" s="8">
        <v>2022</v>
      </c>
      <c r="C247" s="8" t="s">
        <v>364</v>
      </c>
      <c r="D247" s="8" t="s">
        <v>215</v>
      </c>
      <c r="E247" s="8" t="s">
        <v>216</v>
      </c>
      <c r="F247" s="10">
        <v>4.78</v>
      </c>
      <c r="G247" s="1" t="str">
        <f t="shared" si="3"/>
        <v>Memory - NAND</v>
      </c>
    </row>
    <row r="248" spans="1:7">
      <c r="A248" s="8" t="s">
        <v>314</v>
      </c>
      <c r="B248" s="8">
        <v>2022</v>
      </c>
      <c r="C248" s="8" t="s">
        <v>364</v>
      </c>
      <c r="D248" s="8" t="s">
        <v>215</v>
      </c>
      <c r="E248" s="8" t="s">
        <v>216</v>
      </c>
      <c r="F248" s="10">
        <v>4.59</v>
      </c>
      <c r="G248" s="1" t="str">
        <f t="shared" si="3"/>
        <v>Memory - NAND</v>
      </c>
    </row>
    <row r="249" spans="1:7">
      <c r="A249" s="8" t="s">
        <v>315</v>
      </c>
      <c r="B249" s="8">
        <v>2022</v>
      </c>
      <c r="C249" s="8" t="s">
        <v>364</v>
      </c>
      <c r="D249" s="8" t="s">
        <v>215</v>
      </c>
      <c r="E249" s="8" t="s">
        <v>216</v>
      </c>
      <c r="F249" s="10">
        <v>4.24</v>
      </c>
      <c r="G249" s="1" t="str">
        <f t="shared" si="3"/>
        <v>Memory - NAND</v>
      </c>
    </row>
    <row r="250" spans="1:7">
      <c r="A250" s="8" t="s">
        <v>316</v>
      </c>
      <c r="B250" s="8">
        <v>2022</v>
      </c>
      <c r="C250" s="8" t="s">
        <v>364</v>
      </c>
      <c r="D250" s="8" t="s">
        <v>215</v>
      </c>
      <c r="E250" s="8" t="s">
        <v>216</v>
      </c>
      <c r="F250" s="10">
        <v>4.43</v>
      </c>
      <c r="G250" s="1" t="str">
        <f t="shared" si="3"/>
        <v>Memory - NAND</v>
      </c>
    </row>
    <row r="251" spans="1:7">
      <c r="A251" s="8" t="s">
        <v>317</v>
      </c>
      <c r="B251" s="8">
        <v>2022</v>
      </c>
      <c r="C251" s="8" t="s">
        <v>364</v>
      </c>
      <c r="D251" s="8" t="s">
        <v>215</v>
      </c>
      <c r="E251" s="8" t="s">
        <v>216</v>
      </c>
      <c r="F251" s="10">
        <v>4.34</v>
      </c>
      <c r="G251" s="1" t="str">
        <f t="shared" si="3"/>
        <v>Memory - NAND</v>
      </c>
    </row>
    <row r="252" spans="1:7">
      <c r="A252" s="8" t="s">
        <v>318</v>
      </c>
      <c r="B252" s="8">
        <v>2022</v>
      </c>
      <c r="C252" s="8" t="s">
        <v>364</v>
      </c>
      <c r="D252" s="8" t="s">
        <v>215</v>
      </c>
      <c r="E252" s="8" t="s">
        <v>216</v>
      </c>
      <c r="F252" s="10">
        <v>4.29</v>
      </c>
      <c r="G252" s="1" t="str">
        <f t="shared" si="3"/>
        <v>Memory - NAND</v>
      </c>
    </row>
    <row r="253" spans="1:7">
      <c r="A253" s="8" t="s">
        <v>319</v>
      </c>
      <c r="B253" s="8">
        <v>2022</v>
      </c>
      <c r="C253" s="8" t="s">
        <v>364</v>
      </c>
      <c r="D253" s="8" t="s">
        <v>215</v>
      </c>
      <c r="E253" s="8" t="s">
        <v>216</v>
      </c>
      <c r="F253" s="10">
        <v>4.1399999999999997</v>
      </c>
      <c r="G253" s="1" t="str">
        <f t="shared" si="3"/>
        <v>Memory - NAND</v>
      </c>
    </row>
    <row r="254" spans="1:7">
      <c r="A254" s="8" t="s">
        <v>320</v>
      </c>
      <c r="B254" s="8">
        <v>2022</v>
      </c>
      <c r="C254" s="8" t="s">
        <v>364</v>
      </c>
      <c r="D254" s="8" t="s">
        <v>215</v>
      </c>
      <c r="E254" s="8" t="s">
        <v>216</v>
      </c>
      <c r="F254" s="10">
        <v>4.08</v>
      </c>
      <c r="G254" s="1" t="str">
        <f t="shared" si="3"/>
        <v>Memory - NAND</v>
      </c>
    </row>
    <row r="255" spans="1:7">
      <c r="A255" s="8" t="s">
        <v>321</v>
      </c>
      <c r="B255" s="8">
        <v>2022</v>
      </c>
      <c r="C255" s="8" t="s">
        <v>364</v>
      </c>
      <c r="D255" s="8" t="s">
        <v>215</v>
      </c>
      <c r="E255" s="8" t="s">
        <v>216</v>
      </c>
      <c r="F255" s="10">
        <v>4.0599999999999996</v>
      </c>
      <c r="G255" s="1" t="str">
        <f t="shared" si="3"/>
        <v>Memory - NAND</v>
      </c>
    </row>
    <row r="256" spans="1:7">
      <c r="A256" s="8" t="s">
        <v>322</v>
      </c>
      <c r="B256" s="8">
        <v>2022</v>
      </c>
      <c r="C256" s="8" t="s">
        <v>364</v>
      </c>
      <c r="D256" s="8" t="s">
        <v>215</v>
      </c>
      <c r="E256" s="8" t="s">
        <v>216</v>
      </c>
      <c r="F256" s="10">
        <v>4.0599999999999996</v>
      </c>
      <c r="G256" s="1" t="str">
        <f t="shared" si="3"/>
        <v>Memory - NAND</v>
      </c>
    </row>
    <row r="257" spans="1:7">
      <c r="A257" s="8" t="s">
        <v>323</v>
      </c>
      <c r="B257" s="8">
        <v>2022</v>
      </c>
      <c r="C257" s="8" t="s">
        <v>364</v>
      </c>
      <c r="D257" s="8" t="s">
        <v>215</v>
      </c>
      <c r="E257" s="8" t="s">
        <v>216</v>
      </c>
      <c r="F257" s="10">
        <v>3.86</v>
      </c>
      <c r="G257" s="1" t="str">
        <f t="shared" si="3"/>
        <v>Memory - NAND</v>
      </c>
    </row>
    <row r="258" spans="1:7">
      <c r="A258" s="8" t="s">
        <v>324</v>
      </c>
      <c r="B258" s="8">
        <v>2023</v>
      </c>
      <c r="C258" s="8" t="s">
        <v>364</v>
      </c>
      <c r="D258" s="8" t="s">
        <v>215</v>
      </c>
      <c r="E258" s="8" t="s">
        <v>216</v>
      </c>
      <c r="F258" s="10">
        <v>3.76</v>
      </c>
      <c r="G258" s="1" t="str">
        <f t="shared" si="3"/>
        <v>Memory - NAND</v>
      </c>
    </row>
    <row r="259" spans="1:7">
      <c r="A259" s="8" t="s">
        <v>325</v>
      </c>
      <c r="B259" s="8">
        <v>2023</v>
      </c>
      <c r="C259" s="8" t="s">
        <v>364</v>
      </c>
      <c r="D259" s="8" t="s">
        <v>215</v>
      </c>
      <c r="E259" s="8" t="s">
        <v>216</v>
      </c>
      <c r="F259" s="10">
        <v>3.77</v>
      </c>
      <c r="G259" s="1" t="str">
        <f t="shared" ref="G259:G322" si="4">IF(LEFT(C259,4)="DRAM","Memory - DRAM",IF(LEFT(C259,4)="NAND","Memory - NAND",IF(LEFT(C259,3)="HBM","Memory - HBM","GPU")))</f>
        <v>Memory - NAND</v>
      </c>
    </row>
    <row r="260" spans="1:7">
      <c r="A260" s="8" t="s">
        <v>326</v>
      </c>
      <c r="B260" s="8">
        <v>2023</v>
      </c>
      <c r="C260" s="8" t="s">
        <v>364</v>
      </c>
      <c r="D260" s="8" t="s">
        <v>215</v>
      </c>
      <c r="E260" s="8" t="s">
        <v>216</v>
      </c>
      <c r="F260" s="10">
        <v>3.43</v>
      </c>
      <c r="G260" s="1" t="str">
        <f t="shared" si="4"/>
        <v>Memory - NAND</v>
      </c>
    </row>
    <row r="261" spans="1:7">
      <c r="A261" s="8" t="s">
        <v>327</v>
      </c>
      <c r="B261" s="8">
        <v>2023</v>
      </c>
      <c r="C261" s="8" t="s">
        <v>364</v>
      </c>
      <c r="D261" s="8" t="s">
        <v>215</v>
      </c>
      <c r="E261" s="8" t="s">
        <v>216</v>
      </c>
      <c r="F261" s="10">
        <v>3.71</v>
      </c>
      <c r="G261" s="1" t="str">
        <f t="shared" si="4"/>
        <v>Memory - NAND</v>
      </c>
    </row>
    <row r="262" spans="1:7">
      <c r="A262" s="8" t="s">
        <v>328</v>
      </c>
      <c r="B262" s="8">
        <v>2023</v>
      </c>
      <c r="C262" s="8" t="s">
        <v>364</v>
      </c>
      <c r="D262" s="8" t="s">
        <v>215</v>
      </c>
      <c r="E262" s="8" t="s">
        <v>216</v>
      </c>
      <c r="F262" s="10">
        <v>3.58</v>
      </c>
      <c r="G262" s="1" t="str">
        <f t="shared" si="4"/>
        <v>Memory - NAND</v>
      </c>
    </row>
    <row r="263" spans="1:7">
      <c r="A263" s="8" t="s">
        <v>329</v>
      </c>
      <c r="B263" s="8">
        <v>2023</v>
      </c>
      <c r="C263" s="8" t="s">
        <v>364</v>
      </c>
      <c r="D263" s="8" t="s">
        <v>215</v>
      </c>
      <c r="E263" s="8" t="s">
        <v>216</v>
      </c>
      <c r="F263" s="10">
        <v>3.53</v>
      </c>
      <c r="G263" s="1" t="str">
        <f t="shared" si="4"/>
        <v>Memory - NAND</v>
      </c>
    </row>
    <row r="264" spans="1:7">
      <c r="A264" s="8" t="s">
        <v>330</v>
      </c>
      <c r="B264" s="8">
        <v>2023</v>
      </c>
      <c r="C264" s="8" t="s">
        <v>364</v>
      </c>
      <c r="D264" s="8" t="s">
        <v>215</v>
      </c>
      <c r="E264" s="8" t="s">
        <v>216</v>
      </c>
      <c r="F264" s="10">
        <v>3.6</v>
      </c>
      <c r="G264" s="1" t="str">
        <f t="shared" si="4"/>
        <v>Memory - NAND</v>
      </c>
    </row>
    <row r="265" spans="1:7">
      <c r="A265" s="8" t="s">
        <v>331</v>
      </c>
      <c r="B265" s="8">
        <v>2023</v>
      </c>
      <c r="C265" s="8" t="s">
        <v>364</v>
      </c>
      <c r="D265" s="8" t="s">
        <v>215</v>
      </c>
      <c r="E265" s="8" t="s">
        <v>216</v>
      </c>
      <c r="F265" s="10">
        <v>3.14</v>
      </c>
      <c r="G265" s="1" t="str">
        <f t="shared" si="4"/>
        <v>Memory - NAND</v>
      </c>
    </row>
    <row r="266" spans="1:7">
      <c r="A266" s="8" t="s">
        <v>332</v>
      </c>
      <c r="B266" s="8">
        <v>2023</v>
      </c>
      <c r="C266" s="8" t="s">
        <v>364</v>
      </c>
      <c r="D266" s="8" t="s">
        <v>215</v>
      </c>
      <c r="E266" s="8" t="s">
        <v>216</v>
      </c>
      <c r="F266" s="10">
        <v>3.28</v>
      </c>
      <c r="G266" s="1" t="str">
        <f t="shared" si="4"/>
        <v>Memory - NAND</v>
      </c>
    </row>
    <row r="267" spans="1:7">
      <c r="A267" s="8" t="s">
        <v>333</v>
      </c>
      <c r="B267" s="8">
        <v>2023</v>
      </c>
      <c r="C267" s="8" t="s">
        <v>364</v>
      </c>
      <c r="D267" s="8" t="s">
        <v>215</v>
      </c>
      <c r="E267" s="8" t="s">
        <v>216</v>
      </c>
      <c r="F267" s="10">
        <v>3.74</v>
      </c>
      <c r="G267" s="1" t="str">
        <f t="shared" si="4"/>
        <v>Memory - NAND</v>
      </c>
    </row>
    <row r="268" spans="1:7">
      <c r="A268" s="8" t="s">
        <v>334</v>
      </c>
      <c r="B268" s="8">
        <v>2023</v>
      </c>
      <c r="C268" s="8" t="s">
        <v>364</v>
      </c>
      <c r="D268" s="8" t="s">
        <v>215</v>
      </c>
      <c r="E268" s="8" t="s">
        <v>216</v>
      </c>
      <c r="F268" s="10">
        <v>3.85</v>
      </c>
      <c r="G268" s="1" t="str">
        <f t="shared" si="4"/>
        <v>Memory - NAND</v>
      </c>
    </row>
    <row r="269" spans="1:7">
      <c r="A269" s="8" t="s">
        <v>335</v>
      </c>
      <c r="B269" s="8">
        <v>2023</v>
      </c>
      <c r="C269" s="8" t="s">
        <v>364</v>
      </c>
      <c r="D269" s="8" t="s">
        <v>215</v>
      </c>
      <c r="E269" s="8" t="s">
        <v>216</v>
      </c>
      <c r="F269" s="10">
        <v>4.03</v>
      </c>
      <c r="G269" s="1" t="str">
        <f t="shared" si="4"/>
        <v>Memory - NAND</v>
      </c>
    </row>
    <row r="270" spans="1:7">
      <c r="A270" s="8" t="s">
        <v>336</v>
      </c>
      <c r="B270" s="8">
        <v>2024</v>
      </c>
      <c r="C270" s="8" t="s">
        <v>364</v>
      </c>
      <c r="D270" s="8" t="s">
        <v>215</v>
      </c>
      <c r="E270" s="8" t="s">
        <v>216</v>
      </c>
      <c r="F270" s="10">
        <v>4.07</v>
      </c>
      <c r="G270" s="1" t="str">
        <f t="shared" si="4"/>
        <v>Memory - NAND</v>
      </c>
    </row>
    <row r="271" spans="1:7">
      <c r="A271" s="8" t="s">
        <v>337</v>
      </c>
      <c r="B271" s="8">
        <v>2024</v>
      </c>
      <c r="C271" s="8" t="s">
        <v>364</v>
      </c>
      <c r="D271" s="8" t="s">
        <v>215</v>
      </c>
      <c r="E271" s="8" t="s">
        <v>216</v>
      </c>
      <c r="F271" s="10">
        <v>4.2699999999999996</v>
      </c>
      <c r="G271" s="1" t="str">
        <f t="shared" si="4"/>
        <v>Memory - NAND</v>
      </c>
    </row>
    <row r="272" spans="1:7">
      <c r="A272" s="8" t="s">
        <v>338</v>
      </c>
      <c r="B272" s="8">
        <v>2024</v>
      </c>
      <c r="C272" s="8" t="s">
        <v>364</v>
      </c>
      <c r="D272" s="8" t="s">
        <v>215</v>
      </c>
      <c r="E272" s="8" t="s">
        <v>216</v>
      </c>
      <c r="F272" s="10">
        <v>4.32</v>
      </c>
      <c r="G272" s="1" t="str">
        <f t="shared" si="4"/>
        <v>Memory - NAND</v>
      </c>
    </row>
    <row r="273" spans="1:7">
      <c r="A273" s="8" t="s">
        <v>339</v>
      </c>
      <c r="B273" s="8">
        <v>2024</v>
      </c>
      <c r="C273" s="8" t="s">
        <v>364</v>
      </c>
      <c r="D273" s="8" t="s">
        <v>215</v>
      </c>
      <c r="E273" s="8" t="s">
        <v>216</v>
      </c>
      <c r="F273" s="10">
        <v>4.24</v>
      </c>
      <c r="G273" s="1" t="str">
        <f t="shared" si="4"/>
        <v>Memory - NAND</v>
      </c>
    </row>
    <row r="274" spans="1:7">
      <c r="A274" s="8" t="s">
        <v>340</v>
      </c>
      <c r="B274" s="8">
        <v>2024</v>
      </c>
      <c r="C274" s="8" t="s">
        <v>364</v>
      </c>
      <c r="D274" s="8" t="s">
        <v>215</v>
      </c>
      <c r="E274" s="8" t="s">
        <v>216</v>
      </c>
      <c r="F274" s="10">
        <v>4.12</v>
      </c>
      <c r="G274" s="1" t="str">
        <f t="shared" si="4"/>
        <v>Memory - NAND</v>
      </c>
    </row>
    <row r="275" spans="1:7">
      <c r="A275" s="8" t="s">
        <v>341</v>
      </c>
      <c r="B275" s="8">
        <v>2024</v>
      </c>
      <c r="C275" s="8" t="s">
        <v>364</v>
      </c>
      <c r="D275" s="8" t="s">
        <v>215</v>
      </c>
      <c r="E275" s="8" t="s">
        <v>216</v>
      </c>
      <c r="F275" s="10">
        <v>3.84</v>
      </c>
      <c r="G275" s="1" t="str">
        <f t="shared" si="4"/>
        <v>Memory - NAND</v>
      </c>
    </row>
    <row r="276" spans="1:7">
      <c r="A276" s="8" t="s">
        <v>342</v>
      </c>
      <c r="B276" s="8">
        <v>2024</v>
      </c>
      <c r="C276" s="8" t="s">
        <v>364</v>
      </c>
      <c r="D276" s="8" t="s">
        <v>215</v>
      </c>
      <c r="E276" s="8" t="s">
        <v>216</v>
      </c>
      <c r="F276" s="10">
        <v>4.3099999999999996</v>
      </c>
      <c r="G276" s="1" t="str">
        <f t="shared" si="4"/>
        <v>Memory - NAND</v>
      </c>
    </row>
    <row r="277" spans="1:7">
      <c r="A277" s="8" t="s">
        <v>343</v>
      </c>
      <c r="B277" s="8">
        <v>2024</v>
      </c>
      <c r="C277" s="8" t="s">
        <v>364</v>
      </c>
      <c r="D277" s="8" t="s">
        <v>215</v>
      </c>
      <c r="E277" s="8" t="s">
        <v>216</v>
      </c>
      <c r="F277" s="10">
        <v>4.3899999999999997</v>
      </c>
      <c r="G277" s="1" t="str">
        <f t="shared" si="4"/>
        <v>Memory - NAND</v>
      </c>
    </row>
    <row r="278" spans="1:7">
      <c r="A278" s="8" t="s">
        <v>344</v>
      </c>
      <c r="B278" s="8">
        <v>2024</v>
      </c>
      <c r="C278" s="8" t="s">
        <v>364</v>
      </c>
      <c r="D278" s="8" t="s">
        <v>215</v>
      </c>
      <c r="E278" s="8" t="s">
        <v>216</v>
      </c>
      <c r="F278" s="10">
        <v>4.3</v>
      </c>
      <c r="G278" s="1" t="str">
        <f t="shared" si="4"/>
        <v>Memory - NAND</v>
      </c>
    </row>
    <row r="279" spans="1:7">
      <c r="A279" s="8" t="s">
        <v>345</v>
      </c>
      <c r="B279" s="8">
        <v>2024</v>
      </c>
      <c r="C279" s="8" t="s">
        <v>364</v>
      </c>
      <c r="D279" s="8" t="s">
        <v>215</v>
      </c>
      <c r="E279" s="8" t="s">
        <v>216</v>
      </c>
      <c r="F279" s="10">
        <v>4.05</v>
      </c>
      <c r="G279" s="1" t="str">
        <f t="shared" si="4"/>
        <v>Memory - NAND</v>
      </c>
    </row>
    <row r="280" spans="1:7">
      <c r="A280" s="8" t="s">
        <v>346</v>
      </c>
      <c r="B280" s="8">
        <v>2024</v>
      </c>
      <c r="C280" s="8" t="s">
        <v>364</v>
      </c>
      <c r="D280" s="8" t="s">
        <v>215</v>
      </c>
      <c r="E280" s="8" t="s">
        <v>216</v>
      </c>
      <c r="F280" s="10">
        <v>4.3099999999999996</v>
      </c>
      <c r="G280" s="1" t="str">
        <f t="shared" si="4"/>
        <v>Memory - NAND</v>
      </c>
    </row>
    <row r="281" spans="1:7">
      <c r="A281" s="8" t="s">
        <v>347</v>
      </c>
      <c r="B281" s="8">
        <v>2024</v>
      </c>
      <c r="C281" s="8" t="s">
        <v>364</v>
      </c>
      <c r="D281" s="8" t="s">
        <v>215</v>
      </c>
      <c r="E281" s="8" t="s">
        <v>216</v>
      </c>
      <c r="F281" s="10">
        <v>4.3499999999999996</v>
      </c>
      <c r="G281" s="1" t="str">
        <f t="shared" si="4"/>
        <v>Memory - NAND</v>
      </c>
    </row>
    <row r="282" spans="1:7">
      <c r="A282" s="8" t="s">
        <v>348</v>
      </c>
      <c r="B282" s="8">
        <v>2025</v>
      </c>
      <c r="C282" s="8" t="s">
        <v>364</v>
      </c>
      <c r="D282" s="8" t="s">
        <v>215</v>
      </c>
      <c r="E282" s="8" t="s">
        <v>216</v>
      </c>
      <c r="F282" s="10">
        <v>4.45</v>
      </c>
      <c r="G282" s="1" t="str">
        <f t="shared" si="4"/>
        <v>Memory - NAND</v>
      </c>
    </row>
    <row r="283" spans="1:7">
      <c r="A283" s="8" t="s">
        <v>349</v>
      </c>
      <c r="B283" s="8">
        <v>2025</v>
      </c>
      <c r="C283" s="8" t="s">
        <v>364</v>
      </c>
      <c r="D283" s="8" t="s">
        <v>215</v>
      </c>
      <c r="E283" s="8" t="s">
        <v>216</v>
      </c>
      <c r="F283" s="10">
        <v>4.0199999999999996</v>
      </c>
      <c r="G283" s="1" t="str">
        <f t="shared" si="4"/>
        <v>Memory - NAND</v>
      </c>
    </row>
    <row r="284" spans="1:7">
      <c r="A284" s="8" t="s">
        <v>350</v>
      </c>
      <c r="B284" s="8">
        <v>2025</v>
      </c>
      <c r="C284" s="8" t="s">
        <v>364</v>
      </c>
      <c r="D284" s="8" t="s">
        <v>215</v>
      </c>
      <c r="E284" s="8" t="s">
        <v>216</v>
      </c>
      <c r="F284" s="10">
        <v>4.1100000000000003</v>
      </c>
      <c r="G284" s="1" t="str">
        <f t="shared" si="4"/>
        <v>Memory - NAND</v>
      </c>
    </row>
    <row r="285" spans="1:7">
      <c r="A285" s="8" t="s">
        <v>351</v>
      </c>
      <c r="B285" s="8">
        <v>2025</v>
      </c>
      <c r="C285" s="8" t="s">
        <v>364</v>
      </c>
      <c r="D285" s="8" t="s">
        <v>215</v>
      </c>
      <c r="E285" s="8" t="s">
        <v>216</v>
      </c>
      <c r="F285" s="10">
        <v>4.26</v>
      </c>
      <c r="G285" s="1" t="str">
        <f t="shared" si="4"/>
        <v>Memory - NAND</v>
      </c>
    </row>
    <row r="286" spans="1:7">
      <c r="A286" s="8" t="s">
        <v>352</v>
      </c>
      <c r="B286" s="8">
        <v>2025</v>
      </c>
      <c r="C286" s="8" t="s">
        <v>364</v>
      </c>
      <c r="D286" s="8" t="s">
        <v>215</v>
      </c>
      <c r="E286" s="8" t="s">
        <v>216</v>
      </c>
      <c r="F286" s="10">
        <v>4.13</v>
      </c>
      <c r="G286" s="1" t="str">
        <f t="shared" si="4"/>
        <v>Memory - NAND</v>
      </c>
    </row>
    <row r="287" spans="1:7">
      <c r="A287" s="8" t="s">
        <v>353</v>
      </c>
      <c r="B287" s="8">
        <v>2025</v>
      </c>
      <c r="C287" s="8" t="s">
        <v>364</v>
      </c>
      <c r="D287" s="8" t="s">
        <v>215</v>
      </c>
      <c r="E287" s="8" t="s">
        <v>216</v>
      </c>
      <c r="F287" s="10">
        <v>3.92</v>
      </c>
      <c r="G287" s="1" t="str">
        <f t="shared" si="4"/>
        <v>Memory - NAND</v>
      </c>
    </row>
    <row r="288" spans="1:7">
      <c r="A288" s="8" t="s">
        <v>354</v>
      </c>
      <c r="B288" s="8">
        <v>2025</v>
      </c>
      <c r="C288" s="8" t="s">
        <v>364</v>
      </c>
      <c r="D288" s="8" t="s">
        <v>215</v>
      </c>
      <c r="E288" s="8" t="s">
        <v>216</v>
      </c>
      <c r="F288" s="10">
        <v>4.1500000000000004</v>
      </c>
      <c r="G288" s="1" t="str">
        <f t="shared" si="4"/>
        <v>Memory - NAND</v>
      </c>
    </row>
    <row r="289" spans="1:7">
      <c r="A289" s="8" t="s">
        <v>355</v>
      </c>
      <c r="B289" s="8">
        <v>2025</v>
      </c>
      <c r="C289" s="8" t="s">
        <v>364</v>
      </c>
      <c r="D289" s="8" t="s">
        <v>215</v>
      </c>
      <c r="E289" s="8" t="s">
        <v>216</v>
      </c>
      <c r="F289" s="10">
        <v>4.16</v>
      </c>
      <c r="G289" s="1" t="str">
        <f t="shared" si="4"/>
        <v>Memory - NAND</v>
      </c>
    </row>
    <row r="290" spans="1:7">
      <c r="A290" s="8" t="s">
        <v>356</v>
      </c>
      <c r="B290" s="8">
        <v>2025</v>
      </c>
      <c r="C290" s="8" t="s">
        <v>364</v>
      </c>
      <c r="D290" s="8" t="s">
        <v>215</v>
      </c>
      <c r="E290" s="8" t="s">
        <v>216</v>
      </c>
      <c r="F290" s="10">
        <v>4.0599999999999996</v>
      </c>
      <c r="G290" s="1" t="str">
        <f t="shared" si="4"/>
        <v>Memory - NAND</v>
      </c>
    </row>
    <row r="291" spans="1:7">
      <c r="A291" s="8" t="s">
        <v>357</v>
      </c>
      <c r="B291" s="8">
        <v>2025</v>
      </c>
      <c r="C291" s="8" t="s">
        <v>364</v>
      </c>
      <c r="D291" s="8" t="s">
        <v>215</v>
      </c>
      <c r="E291" s="8" t="s">
        <v>216</v>
      </c>
      <c r="F291" s="10">
        <v>4.07</v>
      </c>
      <c r="G291" s="1" t="str">
        <f t="shared" si="4"/>
        <v>Memory - NAND</v>
      </c>
    </row>
    <row r="292" spans="1:7">
      <c r="A292" s="8" t="s">
        <v>358</v>
      </c>
      <c r="B292" s="8">
        <v>2025</v>
      </c>
      <c r="C292" s="8" t="s">
        <v>364</v>
      </c>
      <c r="D292" s="8" t="s">
        <v>215</v>
      </c>
      <c r="E292" s="8" t="s">
        <v>216</v>
      </c>
      <c r="F292" s="10">
        <v>3.98</v>
      </c>
      <c r="G292" s="1" t="str">
        <f t="shared" si="4"/>
        <v>Memory - NAND</v>
      </c>
    </row>
    <row r="293" spans="1:7">
      <c r="A293" s="8" t="s">
        <v>359</v>
      </c>
      <c r="B293" s="8">
        <v>2025</v>
      </c>
      <c r="C293" s="8" t="s">
        <v>364</v>
      </c>
      <c r="D293" s="8" t="s">
        <v>215</v>
      </c>
      <c r="E293" s="8" t="s">
        <v>216</v>
      </c>
      <c r="F293" s="10">
        <v>4.24</v>
      </c>
      <c r="G293" s="1" t="str">
        <f t="shared" si="4"/>
        <v>Memory - NAND</v>
      </c>
    </row>
    <row r="294" spans="1:7">
      <c r="A294" s="8" t="s">
        <v>360</v>
      </c>
      <c r="B294" s="8">
        <v>2026</v>
      </c>
      <c r="C294" s="8" t="s">
        <v>364</v>
      </c>
      <c r="D294" s="8" t="s">
        <v>215</v>
      </c>
      <c r="E294" s="8" t="s">
        <v>216</v>
      </c>
      <c r="F294" s="10">
        <v>3.88</v>
      </c>
      <c r="G294" s="1" t="str">
        <f t="shared" si="4"/>
        <v>Memory - NAND</v>
      </c>
    </row>
    <row r="295" spans="1:7">
      <c r="A295" s="8" t="s">
        <v>361</v>
      </c>
      <c r="B295" s="8">
        <v>2026</v>
      </c>
      <c r="C295" s="8" t="s">
        <v>364</v>
      </c>
      <c r="D295" s="8" t="s">
        <v>215</v>
      </c>
      <c r="E295" s="8" t="s">
        <v>216</v>
      </c>
      <c r="F295" s="10">
        <v>3.96</v>
      </c>
      <c r="G295" s="1" t="str">
        <f t="shared" si="4"/>
        <v>Memory - NAND</v>
      </c>
    </row>
    <row r="296" spans="1:7">
      <c r="A296" s="8" t="s">
        <v>362</v>
      </c>
      <c r="B296" s="8">
        <v>2026</v>
      </c>
      <c r="C296" s="8" t="s">
        <v>364</v>
      </c>
      <c r="D296" s="8" t="s">
        <v>215</v>
      </c>
      <c r="E296" s="8" t="s">
        <v>216</v>
      </c>
      <c r="F296" s="10">
        <v>4.08</v>
      </c>
      <c r="G296" s="1" t="str">
        <f t="shared" si="4"/>
        <v>Memory - NAND</v>
      </c>
    </row>
    <row r="297" spans="1:7">
      <c r="A297" s="8" t="s">
        <v>363</v>
      </c>
      <c r="B297" s="8">
        <v>2026</v>
      </c>
      <c r="C297" s="8" t="s">
        <v>364</v>
      </c>
      <c r="D297" s="8" t="s">
        <v>215</v>
      </c>
      <c r="E297" s="8" t="s">
        <v>216</v>
      </c>
      <c r="F297" s="10">
        <v>4.25</v>
      </c>
      <c r="G297" s="1" t="str">
        <f t="shared" si="4"/>
        <v>Memory - NAND</v>
      </c>
    </row>
    <row r="298" spans="1:7">
      <c r="A298" s="8" t="s">
        <v>312</v>
      </c>
      <c r="B298" s="8">
        <v>2022</v>
      </c>
      <c r="C298" s="8" t="s">
        <v>365</v>
      </c>
      <c r="D298" s="8" t="s">
        <v>215</v>
      </c>
      <c r="E298" s="8" t="s">
        <v>366</v>
      </c>
      <c r="F298" s="10">
        <v>188.37</v>
      </c>
      <c r="G298" s="1" t="str">
        <f t="shared" si="4"/>
        <v>Memory - HBM</v>
      </c>
    </row>
    <row r="299" spans="1:7">
      <c r="A299" s="8" t="s">
        <v>313</v>
      </c>
      <c r="B299" s="8">
        <v>2022</v>
      </c>
      <c r="C299" s="8" t="s">
        <v>365</v>
      </c>
      <c r="D299" s="8" t="s">
        <v>215</v>
      </c>
      <c r="E299" s="8" t="s">
        <v>366</v>
      </c>
      <c r="F299" s="10">
        <v>196.24</v>
      </c>
      <c r="G299" s="1" t="str">
        <f t="shared" si="4"/>
        <v>Memory - HBM</v>
      </c>
    </row>
    <row r="300" spans="1:7">
      <c r="A300" s="8" t="s">
        <v>314</v>
      </c>
      <c r="B300" s="8">
        <v>2022</v>
      </c>
      <c r="C300" s="8" t="s">
        <v>365</v>
      </c>
      <c r="D300" s="8" t="s">
        <v>215</v>
      </c>
      <c r="E300" s="8" t="s">
        <v>366</v>
      </c>
      <c r="F300" s="10">
        <v>196.26</v>
      </c>
      <c r="G300" s="1" t="str">
        <f t="shared" si="4"/>
        <v>Memory - HBM</v>
      </c>
    </row>
    <row r="301" spans="1:7">
      <c r="A301" s="8" t="s">
        <v>315</v>
      </c>
      <c r="B301" s="8">
        <v>2022</v>
      </c>
      <c r="C301" s="8" t="s">
        <v>365</v>
      </c>
      <c r="D301" s="8" t="s">
        <v>215</v>
      </c>
      <c r="E301" s="8" t="s">
        <v>366</v>
      </c>
      <c r="F301" s="10">
        <v>220.01</v>
      </c>
      <c r="G301" s="1" t="str">
        <f t="shared" si="4"/>
        <v>Memory - HBM</v>
      </c>
    </row>
    <row r="302" spans="1:7">
      <c r="A302" s="8" t="s">
        <v>316</v>
      </c>
      <c r="B302" s="8">
        <v>2022</v>
      </c>
      <c r="C302" s="8" t="s">
        <v>365</v>
      </c>
      <c r="D302" s="8" t="s">
        <v>215</v>
      </c>
      <c r="E302" s="8" t="s">
        <v>366</v>
      </c>
      <c r="F302" s="10">
        <v>216.4</v>
      </c>
      <c r="G302" s="1" t="str">
        <f t="shared" si="4"/>
        <v>Memory - HBM</v>
      </c>
    </row>
    <row r="303" spans="1:7">
      <c r="A303" s="8" t="s">
        <v>317</v>
      </c>
      <c r="B303" s="8">
        <v>2022</v>
      </c>
      <c r="C303" s="8" t="s">
        <v>365</v>
      </c>
      <c r="D303" s="8" t="s">
        <v>215</v>
      </c>
      <c r="E303" s="8" t="s">
        <v>366</v>
      </c>
      <c r="F303" s="10">
        <v>229.54</v>
      </c>
      <c r="G303" s="1" t="str">
        <f t="shared" si="4"/>
        <v>Memory - HBM</v>
      </c>
    </row>
    <row r="304" spans="1:7">
      <c r="A304" s="8" t="s">
        <v>318</v>
      </c>
      <c r="B304" s="8">
        <v>2022</v>
      </c>
      <c r="C304" s="8" t="s">
        <v>365</v>
      </c>
      <c r="D304" s="8" t="s">
        <v>215</v>
      </c>
      <c r="E304" s="8" t="s">
        <v>366</v>
      </c>
      <c r="F304" s="10">
        <v>246.1</v>
      </c>
      <c r="G304" s="1" t="str">
        <f t="shared" si="4"/>
        <v>Memory - HBM</v>
      </c>
    </row>
    <row r="305" spans="1:7">
      <c r="A305" s="8" t="s">
        <v>319</v>
      </c>
      <c r="B305" s="8">
        <v>2022</v>
      </c>
      <c r="C305" s="8" t="s">
        <v>365</v>
      </c>
      <c r="D305" s="8" t="s">
        <v>215</v>
      </c>
      <c r="E305" s="8" t="s">
        <v>366</v>
      </c>
      <c r="F305" s="10">
        <v>240.22</v>
      </c>
      <c r="G305" s="1" t="str">
        <f t="shared" si="4"/>
        <v>Memory - HBM</v>
      </c>
    </row>
    <row r="306" spans="1:7">
      <c r="A306" s="8" t="s">
        <v>320</v>
      </c>
      <c r="B306" s="8">
        <v>2022</v>
      </c>
      <c r="C306" s="8" t="s">
        <v>365</v>
      </c>
      <c r="D306" s="8" t="s">
        <v>215</v>
      </c>
      <c r="E306" s="8" t="s">
        <v>366</v>
      </c>
      <c r="F306" s="10">
        <v>255.61</v>
      </c>
      <c r="G306" s="1" t="str">
        <f t="shared" si="4"/>
        <v>Memory - HBM</v>
      </c>
    </row>
    <row r="307" spans="1:7">
      <c r="A307" s="8" t="s">
        <v>321</v>
      </c>
      <c r="B307" s="8">
        <v>2022</v>
      </c>
      <c r="C307" s="8" t="s">
        <v>365</v>
      </c>
      <c r="D307" s="8" t="s">
        <v>215</v>
      </c>
      <c r="E307" s="8" t="s">
        <v>366</v>
      </c>
      <c r="F307" s="10">
        <v>256.74</v>
      </c>
      <c r="G307" s="1" t="str">
        <f t="shared" si="4"/>
        <v>Memory - HBM</v>
      </c>
    </row>
    <row r="308" spans="1:7">
      <c r="A308" s="8" t="s">
        <v>322</v>
      </c>
      <c r="B308" s="8">
        <v>2022</v>
      </c>
      <c r="C308" s="8" t="s">
        <v>365</v>
      </c>
      <c r="D308" s="8" t="s">
        <v>215</v>
      </c>
      <c r="E308" s="8" t="s">
        <v>366</v>
      </c>
      <c r="F308" s="10">
        <v>273.89999999999998</v>
      </c>
      <c r="G308" s="1" t="str">
        <f t="shared" si="4"/>
        <v>Memory - HBM</v>
      </c>
    </row>
    <row r="309" spans="1:7">
      <c r="A309" s="8" t="s">
        <v>323</v>
      </c>
      <c r="B309" s="8">
        <v>2022</v>
      </c>
      <c r="C309" s="8" t="s">
        <v>365</v>
      </c>
      <c r="D309" s="8" t="s">
        <v>215</v>
      </c>
      <c r="E309" s="8" t="s">
        <v>366</v>
      </c>
      <c r="F309" s="10">
        <v>278.45</v>
      </c>
      <c r="G309" s="1" t="str">
        <f t="shared" si="4"/>
        <v>Memory - HBM</v>
      </c>
    </row>
    <row r="310" spans="1:7">
      <c r="A310" s="8" t="s">
        <v>324</v>
      </c>
      <c r="B310" s="8">
        <v>2023</v>
      </c>
      <c r="C310" s="8" t="s">
        <v>365</v>
      </c>
      <c r="D310" s="8" t="s">
        <v>215</v>
      </c>
      <c r="E310" s="8" t="s">
        <v>366</v>
      </c>
      <c r="F310" s="10">
        <v>272.36</v>
      </c>
      <c r="G310" s="1" t="str">
        <f t="shared" si="4"/>
        <v>Memory - HBM</v>
      </c>
    </row>
    <row r="311" spans="1:7">
      <c r="A311" s="8" t="s">
        <v>325</v>
      </c>
      <c r="B311" s="8">
        <v>2023</v>
      </c>
      <c r="C311" s="8" t="s">
        <v>365</v>
      </c>
      <c r="D311" s="8" t="s">
        <v>215</v>
      </c>
      <c r="E311" s="8" t="s">
        <v>366</v>
      </c>
      <c r="F311" s="10">
        <v>292.39</v>
      </c>
      <c r="G311" s="1" t="str">
        <f t="shared" si="4"/>
        <v>Memory - HBM</v>
      </c>
    </row>
    <row r="312" spans="1:7">
      <c r="A312" s="8" t="s">
        <v>326</v>
      </c>
      <c r="B312" s="8">
        <v>2023</v>
      </c>
      <c r="C312" s="8" t="s">
        <v>365</v>
      </c>
      <c r="D312" s="8" t="s">
        <v>215</v>
      </c>
      <c r="E312" s="8" t="s">
        <v>366</v>
      </c>
      <c r="F312" s="10">
        <v>320.45</v>
      </c>
      <c r="G312" s="1" t="str">
        <f t="shared" si="4"/>
        <v>Memory - HBM</v>
      </c>
    </row>
    <row r="313" spans="1:7">
      <c r="A313" s="8" t="s">
        <v>327</v>
      </c>
      <c r="B313" s="8">
        <v>2023</v>
      </c>
      <c r="C313" s="8" t="s">
        <v>365</v>
      </c>
      <c r="D313" s="8" t="s">
        <v>215</v>
      </c>
      <c r="E313" s="8" t="s">
        <v>366</v>
      </c>
      <c r="F313" s="10">
        <v>326.82</v>
      </c>
      <c r="G313" s="1" t="str">
        <f t="shared" si="4"/>
        <v>Memory - HBM</v>
      </c>
    </row>
    <row r="314" spans="1:7">
      <c r="A314" s="8" t="s">
        <v>328</v>
      </c>
      <c r="B314" s="8">
        <v>2023</v>
      </c>
      <c r="C314" s="8" t="s">
        <v>365</v>
      </c>
      <c r="D314" s="8" t="s">
        <v>215</v>
      </c>
      <c r="E314" s="8" t="s">
        <v>366</v>
      </c>
      <c r="F314" s="10">
        <v>317.39</v>
      </c>
      <c r="G314" s="1" t="str">
        <f t="shared" si="4"/>
        <v>Memory - HBM</v>
      </c>
    </row>
    <row r="315" spans="1:7">
      <c r="A315" s="8" t="s">
        <v>329</v>
      </c>
      <c r="B315" s="8">
        <v>2023</v>
      </c>
      <c r="C315" s="8" t="s">
        <v>365</v>
      </c>
      <c r="D315" s="8" t="s">
        <v>215</v>
      </c>
      <c r="E315" s="8" t="s">
        <v>366</v>
      </c>
      <c r="F315" s="10">
        <v>359.3</v>
      </c>
      <c r="G315" s="1" t="str">
        <f t="shared" si="4"/>
        <v>Memory - HBM</v>
      </c>
    </row>
    <row r="316" spans="1:7">
      <c r="A316" s="8" t="s">
        <v>330</v>
      </c>
      <c r="B316" s="8">
        <v>2023</v>
      </c>
      <c r="C316" s="8" t="s">
        <v>365</v>
      </c>
      <c r="D316" s="8" t="s">
        <v>215</v>
      </c>
      <c r="E316" s="8" t="s">
        <v>366</v>
      </c>
      <c r="F316" s="10">
        <v>348.56</v>
      </c>
      <c r="G316" s="1" t="str">
        <f t="shared" si="4"/>
        <v>Memory - HBM</v>
      </c>
    </row>
    <row r="317" spans="1:7">
      <c r="A317" s="8" t="s">
        <v>331</v>
      </c>
      <c r="B317" s="8">
        <v>2023</v>
      </c>
      <c r="C317" s="8" t="s">
        <v>365</v>
      </c>
      <c r="D317" s="8" t="s">
        <v>215</v>
      </c>
      <c r="E317" s="8" t="s">
        <v>366</v>
      </c>
      <c r="F317" s="10">
        <v>400.51</v>
      </c>
      <c r="G317" s="1" t="str">
        <f t="shared" si="4"/>
        <v>Memory - HBM</v>
      </c>
    </row>
    <row r="318" spans="1:7">
      <c r="A318" s="8" t="s">
        <v>332</v>
      </c>
      <c r="B318" s="8">
        <v>2023</v>
      </c>
      <c r="C318" s="8" t="s">
        <v>365</v>
      </c>
      <c r="D318" s="8" t="s">
        <v>215</v>
      </c>
      <c r="E318" s="8" t="s">
        <v>366</v>
      </c>
      <c r="F318" s="10">
        <v>409.42</v>
      </c>
      <c r="G318" s="1" t="str">
        <f t="shared" si="4"/>
        <v>Memory - HBM</v>
      </c>
    </row>
    <row r="319" spans="1:7">
      <c r="A319" s="8" t="s">
        <v>333</v>
      </c>
      <c r="B319" s="8">
        <v>2023</v>
      </c>
      <c r="C319" s="8" t="s">
        <v>365</v>
      </c>
      <c r="D319" s="8" t="s">
        <v>215</v>
      </c>
      <c r="E319" s="8" t="s">
        <v>366</v>
      </c>
      <c r="F319" s="10">
        <v>411.76</v>
      </c>
      <c r="G319" s="1" t="str">
        <f t="shared" si="4"/>
        <v>Memory - HBM</v>
      </c>
    </row>
    <row r="320" spans="1:7">
      <c r="A320" s="8" t="s">
        <v>334</v>
      </c>
      <c r="B320" s="8">
        <v>2023</v>
      </c>
      <c r="C320" s="8" t="s">
        <v>365</v>
      </c>
      <c r="D320" s="8" t="s">
        <v>215</v>
      </c>
      <c r="E320" s="8" t="s">
        <v>366</v>
      </c>
      <c r="F320" s="10">
        <v>424.15</v>
      </c>
      <c r="G320" s="1" t="str">
        <f t="shared" si="4"/>
        <v>Memory - HBM</v>
      </c>
    </row>
    <row r="321" spans="1:7">
      <c r="A321" s="8" t="s">
        <v>335</v>
      </c>
      <c r="B321" s="8">
        <v>2023</v>
      </c>
      <c r="C321" s="8" t="s">
        <v>365</v>
      </c>
      <c r="D321" s="8" t="s">
        <v>215</v>
      </c>
      <c r="E321" s="8" t="s">
        <v>366</v>
      </c>
      <c r="F321" s="10">
        <v>431.89</v>
      </c>
      <c r="G321" s="1" t="str">
        <f t="shared" si="4"/>
        <v>Memory - HBM</v>
      </c>
    </row>
    <row r="322" spans="1:7">
      <c r="A322" s="8" t="s">
        <v>336</v>
      </c>
      <c r="B322" s="8">
        <v>2024</v>
      </c>
      <c r="C322" s="8" t="s">
        <v>365</v>
      </c>
      <c r="D322" s="8" t="s">
        <v>215</v>
      </c>
      <c r="E322" s="8" t="s">
        <v>366</v>
      </c>
      <c r="F322" s="10">
        <v>462.38</v>
      </c>
      <c r="G322" s="1" t="str">
        <f t="shared" si="4"/>
        <v>Memory - HBM</v>
      </c>
    </row>
    <row r="323" spans="1:7">
      <c r="A323" s="8" t="s">
        <v>337</v>
      </c>
      <c r="B323" s="8">
        <v>2024</v>
      </c>
      <c r="C323" s="8" t="s">
        <v>365</v>
      </c>
      <c r="D323" s="8" t="s">
        <v>215</v>
      </c>
      <c r="E323" s="8" t="s">
        <v>366</v>
      </c>
      <c r="F323" s="10">
        <v>473.52</v>
      </c>
      <c r="G323" s="1" t="str">
        <f t="shared" ref="G323:G386" si="5">IF(LEFT(C323,4)="DRAM","Memory - DRAM",IF(LEFT(C323,4)="NAND","Memory - NAND",IF(LEFT(C323,3)="HBM","Memory - HBM","GPU")))</f>
        <v>Memory - HBM</v>
      </c>
    </row>
    <row r="324" spans="1:7">
      <c r="A324" s="8" t="s">
        <v>338</v>
      </c>
      <c r="B324" s="8">
        <v>2024</v>
      </c>
      <c r="C324" s="8" t="s">
        <v>365</v>
      </c>
      <c r="D324" s="8" t="s">
        <v>215</v>
      </c>
      <c r="E324" s="8" t="s">
        <v>366</v>
      </c>
      <c r="F324" s="10">
        <v>514.03</v>
      </c>
      <c r="G324" s="1" t="str">
        <f t="shared" si="5"/>
        <v>Memory - HBM</v>
      </c>
    </row>
    <row r="325" spans="1:7">
      <c r="A325" s="8" t="s">
        <v>339</v>
      </c>
      <c r="B325" s="8">
        <v>2024</v>
      </c>
      <c r="C325" s="8" t="s">
        <v>365</v>
      </c>
      <c r="D325" s="8" t="s">
        <v>215</v>
      </c>
      <c r="E325" s="8" t="s">
        <v>366</v>
      </c>
      <c r="F325" s="10">
        <v>558.96</v>
      </c>
      <c r="G325" s="1" t="str">
        <f t="shared" si="5"/>
        <v>Memory - HBM</v>
      </c>
    </row>
    <row r="326" spans="1:7">
      <c r="A326" s="8" t="s">
        <v>340</v>
      </c>
      <c r="B326" s="8">
        <v>2024</v>
      </c>
      <c r="C326" s="8" t="s">
        <v>365</v>
      </c>
      <c r="D326" s="8" t="s">
        <v>215</v>
      </c>
      <c r="E326" s="8" t="s">
        <v>366</v>
      </c>
      <c r="F326" s="10">
        <v>556.75</v>
      </c>
      <c r="G326" s="1" t="str">
        <f t="shared" si="5"/>
        <v>Memory - HBM</v>
      </c>
    </row>
    <row r="327" spans="1:7">
      <c r="A327" s="8" t="s">
        <v>341</v>
      </c>
      <c r="B327" s="8">
        <v>2024</v>
      </c>
      <c r="C327" s="8" t="s">
        <v>365</v>
      </c>
      <c r="D327" s="8" t="s">
        <v>215</v>
      </c>
      <c r="E327" s="8" t="s">
        <v>366</v>
      </c>
      <c r="F327" s="10">
        <v>585.39</v>
      </c>
      <c r="G327" s="1" t="str">
        <f t="shared" si="5"/>
        <v>Memory - HBM</v>
      </c>
    </row>
    <row r="328" spans="1:7">
      <c r="A328" s="8" t="s">
        <v>342</v>
      </c>
      <c r="B328" s="8">
        <v>2024</v>
      </c>
      <c r="C328" s="8" t="s">
        <v>365</v>
      </c>
      <c r="D328" s="8" t="s">
        <v>215</v>
      </c>
      <c r="E328" s="8" t="s">
        <v>366</v>
      </c>
      <c r="F328" s="10">
        <v>587.64</v>
      </c>
      <c r="G328" s="1" t="str">
        <f t="shared" si="5"/>
        <v>Memory - HBM</v>
      </c>
    </row>
    <row r="329" spans="1:7">
      <c r="A329" s="8" t="s">
        <v>343</v>
      </c>
      <c r="B329" s="8">
        <v>2024</v>
      </c>
      <c r="C329" s="8" t="s">
        <v>365</v>
      </c>
      <c r="D329" s="8" t="s">
        <v>215</v>
      </c>
      <c r="E329" s="8" t="s">
        <v>366</v>
      </c>
      <c r="F329" s="10">
        <v>606.92999999999995</v>
      </c>
      <c r="G329" s="1" t="str">
        <f t="shared" si="5"/>
        <v>Memory - HBM</v>
      </c>
    </row>
    <row r="330" spans="1:7">
      <c r="A330" s="8" t="s">
        <v>344</v>
      </c>
      <c r="B330" s="8">
        <v>2024</v>
      </c>
      <c r="C330" s="8" t="s">
        <v>365</v>
      </c>
      <c r="D330" s="8" t="s">
        <v>215</v>
      </c>
      <c r="E330" s="8" t="s">
        <v>366</v>
      </c>
      <c r="F330" s="10">
        <v>604.41</v>
      </c>
      <c r="G330" s="1" t="str">
        <f t="shared" si="5"/>
        <v>Memory - HBM</v>
      </c>
    </row>
    <row r="331" spans="1:7">
      <c r="A331" s="8" t="s">
        <v>345</v>
      </c>
      <c r="B331" s="8">
        <v>2024</v>
      </c>
      <c r="C331" s="8" t="s">
        <v>365</v>
      </c>
      <c r="D331" s="8" t="s">
        <v>215</v>
      </c>
      <c r="E331" s="8" t="s">
        <v>366</v>
      </c>
      <c r="F331" s="10">
        <v>686.42</v>
      </c>
      <c r="G331" s="1" t="str">
        <f t="shared" si="5"/>
        <v>Memory - HBM</v>
      </c>
    </row>
    <row r="332" spans="1:7">
      <c r="A332" s="8" t="s">
        <v>346</v>
      </c>
      <c r="B332" s="8">
        <v>2024</v>
      </c>
      <c r="C332" s="8" t="s">
        <v>365</v>
      </c>
      <c r="D332" s="8" t="s">
        <v>215</v>
      </c>
      <c r="E332" s="8" t="s">
        <v>366</v>
      </c>
      <c r="F332" s="10">
        <v>734.9</v>
      </c>
      <c r="G332" s="1" t="str">
        <f t="shared" si="5"/>
        <v>Memory - HBM</v>
      </c>
    </row>
    <row r="333" spans="1:7">
      <c r="A333" s="8" t="s">
        <v>347</v>
      </c>
      <c r="B333" s="8">
        <v>2024</v>
      </c>
      <c r="C333" s="8" t="s">
        <v>365</v>
      </c>
      <c r="D333" s="8" t="s">
        <v>215</v>
      </c>
      <c r="E333" s="8" t="s">
        <v>366</v>
      </c>
      <c r="F333" s="10">
        <v>741.07</v>
      </c>
      <c r="G333" s="1" t="str">
        <f t="shared" si="5"/>
        <v>Memory - HBM</v>
      </c>
    </row>
    <row r="334" spans="1:7">
      <c r="A334" s="8" t="s">
        <v>348</v>
      </c>
      <c r="B334" s="8">
        <v>2025</v>
      </c>
      <c r="C334" s="8" t="s">
        <v>365</v>
      </c>
      <c r="D334" s="8" t="s">
        <v>215</v>
      </c>
      <c r="E334" s="8" t="s">
        <v>366</v>
      </c>
      <c r="F334" s="10">
        <v>663.9</v>
      </c>
      <c r="G334" s="1" t="str">
        <f t="shared" si="5"/>
        <v>Memory - HBM</v>
      </c>
    </row>
    <row r="335" spans="1:7">
      <c r="A335" s="8" t="s">
        <v>349</v>
      </c>
      <c r="B335" s="8">
        <v>2025</v>
      </c>
      <c r="C335" s="8" t="s">
        <v>365</v>
      </c>
      <c r="D335" s="8" t="s">
        <v>215</v>
      </c>
      <c r="E335" s="8" t="s">
        <v>366</v>
      </c>
      <c r="F335" s="10">
        <v>738.13</v>
      </c>
      <c r="G335" s="1" t="str">
        <f t="shared" si="5"/>
        <v>Memory - HBM</v>
      </c>
    </row>
    <row r="336" spans="1:7">
      <c r="A336" s="8" t="s">
        <v>350</v>
      </c>
      <c r="B336" s="8">
        <v>2025</v>
      </c>
      <c r="C336" s="8" t="s">
        <v>365</v>
      </c>
      <c r="D336" s="8" t="s">
        <v>215</v>
      </c>
      <c r="E336" s="8" t="s">
        <v>366</v>
      </c>
      <c r="F336" s="10">
        <v>767.15</v>
      </c>
      <c r="G336" s="1" t="str">
        <f t="shared" si="5"/>
        <v>Memory - HBM</v>
      </c>
    </row>
    <row r="337" spans="1:7">
      <c r="A337" s="8" t="s">
        <v>351</v>
      </c>
      <c r="B337" s="8">
        <v>2025</v>
      </c>
      <c r="C337" s="8" t="s">
        <v>365</v>
      </c>
      <c r="D337" s="8" t="s">
        <v>215</v>
      </c>
      <c r="E337" s="8" t="s">
        <v>366</v>
      </c>
      <c r="F337" s="10">
        <v>719.97</v>
      </c>
      <c r="G337" s="1" t="str">
        <f t="shared" si="5"/>
        <v>Memory - HBM</v>
      </c>
    </row>
    <row r="338" spans="1:7">
      <c r="A338" s="8" t="s">
        <v>352</v>
      </c>
      <c r="B338" s="8">
        <v>2025</v>
      </c>
      <c r="C338" s="8" t="s">
        <v>365</v>
      </c>
      <c r="D338" s="8" t="s">
        <v>215</v>
      </c>
      <c r="E338" s="8" t="s">
        <v>366</v>
      </c>
      <c r="F338" s="10">
        <v>744.5</v>
      </c>
      <c r="G338" s="1" t="str">
        <f t="shared" si="5"/>
        <v>Memory - HBM</v>
      </c>
    </row>
    <row r="339" spans="1:7">
      <c r="A339" s="8" t="s">
        <v>353</v>
      </c>
      <c r="B339" s="8">
        <v>2025</v>
      </c>
      <c r="C339" s="8" t="s">
        <v>365</v>
      </c>
      <c r="D339" s="8" t="s">
        <v>215</v>
      </c>
      <c r="E339" s="8" t="s">
        <v>366</v>
      </c>
      <c r="F339" s="10">
        <v>692.12</v>
      </c>
      <c r="G339" s="1" t="str">
        <f t="shared" si="5"/>
        <v>Memory - HBM</v>
      </c>
    </row>
    <row r="340" spans="1:7">
      <c r="A340" s="8" t="s">
        <v>354</v>
      </c>
      <c r="B340" s="8">
        <v>2025</v>
      </c>
      <c r="C340" s="8" t="s">
        <v>365</v>
      </c>
      <c r="D340" s="8" t="s">
        <v>215</v>
      </c>
      <c r="E340" s="8" t="s">
        <v>366</v>
      </c>
      <c r="F340" s="10">
        <v>766.33</v>
      </c>
      <c r="G340" s="1" t="str">
        <f t="shared" si="5"/>
        <v>Memory - HBM</v>
      </c>
    </row>
    <row r="341" spans="1:7">
      <c r="A341" s="8" t="s">
        <v>355</v>
      </c>
      <c r="B341" s="8">
        <v>2025</v>
      </c>
      <c r="C341" s="8" t="s">
        <v>365</v>
      </c>
      <c r="D341" s="8" t="s">
        <v>215</v>
      </c>
      <c r="E341" s="8" t="s">
        <v>366</v>
      </c>
      <c r="F341" s="10">
        <v>734.73</v>
      </c>
      <c r="G341" s="1" t="str">
        <f t="shared" si="5"/>
        <v>Memory - HBM</v>
      </c>
    </row>
    <row r="342" spans="1:7">
      <c r="A342" s="8" t="s">
        <v>356</v>
      </c>
      <c r="B342" s="8">
        <v>2025</v>
      </c>
      <c r="C342" s="8" t="s">
        <v>365</v>
      </c>
      <c r="D342" s="8" t="s">
        <v>215</v>
      </c>
      <c r="E342" s="8" t="s">
        <v>366</v>
      </c>
      <c r="F342" s="10">
        <v>781.35</v>
      </c>
      <c r="G342" s="1" t="str">
        <f t="shared" si="5"/>
        <v>Memory - HBM</v>
      </c>
    </row>
    <row r="343" spans="1:7">
      <c r="A343" s="8" t="s">
        <v>357</v>
      </c>
      <c r="B343" s="8">
        <v>2025</v>
      </c>
      <c r="C343" s="8" t="s">
        <v>365</v>
      </c>
      <c r="D343" s="8" t="s">
        <v>215</v>
      </c>
      <c r="E343" s="8" t="s">
        <v>366</v>
      </c>
      <c r="F343" s="10">
        <v>735.91</v>
      </c>
      <c r="G343" s="1" t="str">
        <f t="shared" si="5"/>
        <v>Memory - HBM</v>
      </c>
    </row>
    <row r="344" spans="1:7">
      <c r="A344" s="8" t="s">
        <v>358</v>
      </c>
      <c r="B344" s="8">
        <v>2025</v>
      </c>
      <c r="C344" s="8" t="s">
        <v>365</v>
      </c>
      <c r="D344" s="8" t="s">
        <v>215</v>
      </c>
      <c r="E344" s="8" t="s">
        <v>366</v>
      </c>
      <c r="F344" s="10">
        <v>809.18</v>
      </c>
      <c r="G344" s="1" t="str">
        <f t="shared" si="5"/>
        <v>Memory - HBM</v>
      </c>
    </row>
    <row r="345" spans="1:7">
      <c r="A345" s="8" t="s">
        <v>359</v>
      </c>
      <c r="B345" s="8">
        <v>2025</v>
      </c>
      <c r="C345" s="8" t="s">
        <v>365</v>
      </c>
      <c r="D345" s="8" t="s">
        <v>215</v>
      </c>
      <c r="E345" s="8" t="s">
        <v>366</v>
      </c>
      <c r="F345" s="10">
        <v>833.47</v>
      </c>
      <c r="G345" s="1" t="str">
        <f t="shared" si="5"/>
        <v>Memory - HBM</v>
      </c>
    </row>
    <row r="346" spans="1:7">
      <c r="A346" s="8" t="s">
        <v>360</v>
      </c>
      <c r="B346" s="8">
        <v>2026</v>
      </c>
      <c r="C346" s="8" t="s">
        <v>365</v>
      </c>
      <c r="D346" s="8" t="s">
        <v>215</v>
      </c>
      <c r="E346" s="8" t="s">
        <v>366</v>
      </c>
      <c r="F346" s="10">
        <v>787.74</v>
      </c>
      <c r="G346" s="1" t="str">
        <f t="shared" si="5"/>
        <v>Memory - HBM</v>
      </c>
    </row>
    <row r="347" spans="1:7">
      <c r="A347" s="8" t="s">
        <v>361</v>
      </c>
      <c r="B347" s="8">
        <v>2026</v>
      </c>
      <c r="C347" s="8" t="s">
        <v>365</v>
      </c>
      <c r="D347" s="8" t="s">
        <v>215</v>
      </c>
      <c r="E347" s="8" t="s">
        <v>366</v>
      </c>
      <c r="F347" s="10">
        <v>788.91</v>
      </c>
      <c r="G347" s="1" t="str">
        <f t="shared" si="5"/>
        <v>Memory - HBM</v>
      </c>
    </row>
    <row r="348" spans="1:7">
      <c r="A348" s="8" t="s">
        <v>362</v>
      </c>
      <c r="B348" s="8">
        <v>2026</v>
      </c>
      <c r="C348" s="8" t="s">
        <v>365</v>
      </c>
      <c r="D348" s="8" t="s">
        <v>215</v>
      </c>
      <c r="E348" s="8" t="s">
        <v>366</v>
      </c>
      <c r="F348" s="10">
        <v>768.02</v>
      </c>
      <c r="G348" s="1" t="str">
        <f t="shared" si="5"/>
        <v>Memory - HBM</v>
      </c>
    </row>
    <row r="349" spans="1:7">
      <c r="A349" s="8" t="s">
        <v>363</v>
      </c>
      <c r="B349" s="8">
        <v>2026</v>
      </c>
      <c r="C349" s="8" t="s">
        <v>365</v>
      </c>
      <c r="D349" s="8" t="s">
        <v>215</v>
      </c>
      <c r="E349" s="8" t="s">
        <v>366</v>
      </c>
      <c r="F349" s="10">
        <v>840.99</v>
      </c>
      <c r="G349" s="1" t="str">
        <f t="shared" si="5"/>
        <v>Memory - HBM</v>
      </c>
    </row>
    <row r="350" spans="1:7">
      <c r="A350" s="8" t="s">
        <v>326</v>
      </c>
      <c r="B350" s="8">
        <v>2023</v>
      </c>
      <c r="C350" s="8" t="s">
        <v>367</v>
      </c>
      <c r="D350" s="8" t="s">
        <v>215</v>
      </c>
      <c r="E350" s="8" t="s">
        <v>368</v>
      </c>
      <c r="F350" s="10">
        <v>34195.17</v>
      </c>
      <c r="G350" s="1" t="str">
        <f t="shared" si="5"/>
        <v>GPU</v>
      </c>
    </row>
    <row r="351" spans="1:7">
      <c r="A351" s="8" t="s">
        <v>327</v>
      </c>
      <c r="B351" s="8">
        <v>2023</v>
      </c>
      <c r="C351" s="8" t="s">
        <v>367</v>
      </c>
      <c r="D351" s="8" t="s">
        <v>215</v>
      </c>
      <c r="E351" s="8" t="s">
        <v>368</v>
      </c>
      <c r="F351" s="10">
        <v>32894.559999999998</v>
      </c>
      <c r="G351" s="1" t="str">
        <f t="shared" si="5"/>
        <v>GPU</v>
      </c>
    </row>
    <row r="352" spans="1:7">
      <c r="A352" s="8" t="s">
        <v>328</v>
      </c>
      <c r="B352" s="8">
        <v>2023</v>
      </c>
      <c r="C352" s="8" t="s">
        <v>367</v>
      </c>
      <c r="D352" s="8" t="s">
        <v>215</v>
      </c>
      <c r="E352" s="8" t="s">
        <v>368</v>
      </c>
      <c r="F352" s="10">
        <v>35640.01</v>
      </c>
      <c r="G352" s="1" t="str">
        <f t="shared" si="5"/>
        <v>GPU</v>
      </c>
    </row>
    <row r="353" spans="1:7">
      <c r="A353" s="8" t="s">
        <v>329</v>
      </c>
      <c r="B353" s="8">
        <v>2023</v>
      </c>
      <c r="C353" s="8" t="s">
        <v>367</v>
      </c>
      <c r="D353" s="8" t="s">
        <v>215</v>
      </c>
      <c r="E353" s="8" t="s">
        <v>368</v>
      </c>
      <c r="F353" s="10">
        <v>34375.68</v>
      </c>
      <c r="G353" s="1" t="str">
        <f t="shared" si="5"/>
        <v>GPU</v>
      </c>
    </row>
    <row r="354" spans="1:7">
      <c r="A354" s="8" t="s">
        <v>330</v>
      </c>
      <c r="B354" s="8">
        <v>2023</v>
      </c>
      <c r="C354" s="8" t="s">
        <v>367</v>
      </c>
      <c r="D354" s="8" t="s">
        <v>215</v>
      </c>
      <c r="E354" s="8" t="s">
        <v>368</v>
      </c>
      <c r="F354" s="10">
        <v>33054.82</v>
      </c>
      <c r="G354" s="1" t="str">
        <f t="shared" si="5"/>
        <v>GPU</v>
      </c>
    </row>
    <row r="355" spans="1:7">
      <c r="A355" s="8" t="s">
        <v>331</v>
      </c>
      <c r="B355" s="8">
        <v>2023</v>
      </c>
      <c r="C355" s="8" t="s">
        <v>367</v>
      </c>
      <c r="D355" s="8" t="s">
        <v>215</v>
      </c>
      <c r="E355" s="8" t="s">
        <v>368</v>
      </c>
      <c r="F355" s="10">
        <v>33254.089999999997</v>
      </c>
      <c r="G355" s="1" t="str">
        <f t="shared" si="5"/>
        <v>GPU</v>
      </c>
    </row>
    <row r="356" spans="1:7">
      <c r="A356" s="8" t="s">
        <v>332</v>
      </c>
      <c r="B356" s="8">
        <v>2023</v>
      </c>
      <c r="C356" s="8" t="s">
        <v>367</v>
      </c>
      <c r="D356" s="8" t="s">
        <v>215</v>
      </c>
      <c r="E356" s="8" t="s">
        <v>368</v>
      </c>
      <c r="F356" s="10">
        <v>34958.19</v>
      </c>
      <c r="G356" s="1" t="str">
        <f t="shared" si="5"/>
        <v>GPU</v>
      </c>
    </row>
    <row r="357" spans="1:7">
      <c r="A357" s="8" t="s">
        <v>333</v>
      </c>
      <c r="B357" s="8">
        <v>2023</v>
      </c>
      <c r="C357" s="8" t="s">
        <v>367</v>
      </c>
      <c r="D357" s="8" t="s">
        <v>215</v>
      </c>
      <c r="E357" s="8" t="s">
        <v>368</v>
      </c>
      <c r="F357" s="10">
        <v>33805.550000000003</v>
      </c>
      <c r="G357" s="1" t="str">
        <f t="shared" si="5"/>
        <v>GPU</v>
      </c>
    </row>
    <row r="358" spans="1:7">
      <c r="A358" s="8" t="s">
        <v>334</v>
      </c>
      <c r="B358" s="8">
        <v>2023</v>
      </c>
      <c r="C358" s="8" t="s">
        <v>367</v>
      </c>
      <c r="D358" s="8" t="s">
        <v>215</v>
      </c>
      <c r="E358" s="8" t="s">
        <v>368</v>
      </c>
      <c r="F358" s="10">
        <v>32323.25</v>
      </c>
      <c r="G358" s="1" t="str">
        <f t="shared" si="5"/>
        <v>GPU</v>
      </c>
    </row>
    <row r="359" spans="1:7">
      <c r="A359" s="8" t="s">
        <v>335</v>
      </c>
      <c r="B359" s="8">
        <v>2023</v>
      </c>
      <c r="C359" s="8" t="s">
        <v>367</v>
      </c>
      <c r="D359" s="8" t="s">
        <v>215</v>
      </c>
      <c r="E359" s="8" t="s">
        <v>368</v>
      </c>
      <c r="F359" s="10">
        <v>32802.35</v>
      </c>
      <c r="G359" s="1" t="str">
        <f t="shared" si="5"/>
        <v>GPU</v>
      </c>
    </row>
    <row r="360" spans="1:7">
      <c r="A360" s="8" t="s">
        <v>336</v>
      </c>
      <c r="B360" s="8">
        <v>2024</v>
      </c>
      <c r="C360" s="8" t="s">
        <v>367</v>
      </c>
      <c r="D360" s="8" t="s">
        <v>215</v>
      </c>
      <c r="E360" s="8" t="s">
        <v>368</v>
      </c>
      <c r="F360" s="10">
        <v>29897.599999999999</v>
      </c>
      <c r="G360" s="1" t="str">
        <f t="shared" si="5"/>
        <v>GPU</v>
      </c>
    </row>
    <row r="361" spans="1:7">
      <c r="A361" s="8" t="s">
        <v>337</v>
      </c>
      <c r="B361" s="8">
        <v>2024</v>
      </c>
      <c r="C361" s="8" t="s">
        <v>367</v>
      </c>
      <c r="D361" s="8" t="s">
        <v>215</v>
      </c>
      <c r="E361" s="8" t="s">
        <v>368</v>
      </c>
      <c r="F361" s="10">
        <v>30677.06</v>
      </c>
      <c r="G361" s="1" t="str">
        <f t="shared" si="5"/>
        <v>GPU</v>
      </c>
    </row>
    <row r="362" spans="1:7">
      <c r="A362" s="8" t="s">
        <v>338</v>
      </c>
      <c r="B362" s="8">
        <v>2024</v>
      </c>
      <c r="C362" s="8" t="s">
        <v>367</v>
      </c>
      <c r="D362" s="8" t="s">
        <v>215</v>
      </c>
      <c r="E362" s="8" t="s">
        <v>368</v>
      </c>
      <c r="F362" s="10">
        <v>30177.31</v>
      </c>
      <c r="G362" s="1" t="str">
        <f t="shared" si="5"/>
        <v>GPU</v>
      </c>
    </row>
    <row r="363" spans="1:7">
      <c r="A363" s="8" t="s">
        <v>339</v>
      </c>
      <c r="B363" s="8">
        <v>2024</v>
      </c>
      <c r="C363" s="8" t="s">
        <v>367</v>
      </c>
      <c r="D363" s="8" t="s">
        <v>215</v>
      </c>
      <c r="E363" s="8" t="s">
        <v>368</v>
      </c>
      <c r="F363" s="10">
        <v>28780.09</v>
      </c>
      <c r="G363" s="1" t="str">
        <f t="shared" si="5"/>
        <v>GPU</v>
      </c>
    </row>
    <row r="364" spans="1:7">
      <c r="A364" s="8" t="s">
        <v>340</v>
      </c>
      <c r="B364" s="8">
        <v>2024</v>
      </c>
      <c r="C364" s="8" t="s">
        <v>367</v>
      </c>
      <c r="D364" s="8" t="s">
        <v>215</v>
      </c>
      <c r="E364" s="8" t="s">
        <v>368</v>
      </c>
      <c r="F364" s="10">
        <v>29177.74</v>
      </c>
      <c r="G364" s="1" t="str">
        <f t="shared" si="5"/>
        <v>GPU</v>
      </c>
    </row>
    <row r="365" spans="1:7">
      <c r="A365" s="8" t="s">
        <v>341</v>
      </c>
      <c r="B365" s="8">
        <v>2024</v>
      </c>
      <c r="C365" s="8" t="s">
        <v>367</v>
      </c>
      <c r="D365" s="8" t="s">
        <v>215</v>
      </c>
      <c r="E365" s="8" t="s">
        <v>368</v>
      </c>
      <c r="F365" s="10">
        <v>27139.42</v>
      </c>
      <c r="G365" s="1" t="str">
        <f t="shared" si="5"/>
        <v>GPU</v>
      </c>
    </row>
    <row r="366" spans="1:7">
      <c r="A366" s="8" t="s">
        <v>342</v>
      </c>
      <c r="B366" s="8">
        <v>2024</v>
      </c>
      <c r="C366" s="8" t="s">
        <v>367</v>
      </c>
      <c r="D366" s="8" t="s">
        <v>215</v>
      </c>
      <c r="E366" s="8" t="s">
        <v>368</v>
      </c>
      <c r="F366" s="10">
        <v>28576.86</v>
      </c>
      <c r="G366" s="1" t="str">
        <f t="shared" si="5"/>
        <v>GPU</v>
      </c>
    </row>
    <row r="367" spans="1:7">
      <c r="A367" s="8" t="s">
        <v>343</v>
      </c>
      <c r="B367" s="8">
        <v>2024</v>
      </c>
      <c r="C367" s="8" t="s">
        <v>367</v>
      </c>
      <c r="D367" s="8" t="s">
        <v>215</v>
      </c>
      <c r="E367" s="8" t="s">
        <v>368</v>
      </c>
      <c r="F367" s="10">
        <v>28624.95</v>
      </c>
      <c r="G367" s="1" t="str">
        <f t="shared" si="5"/>
        <v>GPU</v>
      </c>
    </row>
    <row r="368" spans="1:7">
      <c r="A368" s="8" t="s">
        <v>344</v>
      </c>
      <c r="B368" s="8">
        <v>2024</v>
      </c>
      <c r="C368" s="8" t="s">
        <v>367</v>
      </c>
      <c r="D368" s="8" t="s">
        <v>215</v>
      </c>
      <c r="E368" s="8" t="s">
        <v>368</v>
      </c>
      <c r="F368" s="10">
        <v>24916.2</v>
      </c>
      <c r="G368" s="1" t="str">
        <f t="shared" si="5"/>
        <v>GPU</v>
      </c>
    </row>
    <row r="369" spans="1:7">
      <c r="A369" s="8" t="s">
        <v>345</v>
      </c>
      <c r="B369" s="8">
        <v>2024</v>
      </c>
      <c r="C369" s="8" t="s">
        <v>367</v>
      </c>
      <c r="D369" s="8" t="s">
        <v>215</v>
      </c>
      <c r="E369" s="8" t="s">
        <v>368</v>
      </c>
      <c r="F369" s="10">
        <v>29365.39</v>
      </c>
      <c r="G369" s="1" t="str">
        <f t="shared" si="5"/>
        <v>GPU</v>
      </c>
    </row>
    <row r="370" spans="1:7">
      <c r="A370" s="8" t="s">
        <v>346</v>
      </c>
      <c r="B370" s="8">
        <v>2024</v>
      </c>
      <c r="C370" s="8" t="s">
        <v>367</v>
      </c>
      <c r="D370" s="8" t="s">
        <v>215</v>
      </c>
      <c r="E370" s="8" t="s">
        <v>368</v>
      </c>
      <c r="F370" s="10">
        <v>24786.5</v>
      </c>
      <c r="G370" s="1" t="str">
        <f t="shared" si="5"/>
        <v>GPU</v>
      </c>
    </row>
    <row r="371" spans="1:7">
      <c r="A371" s="8" t="s">
        <v>347</v>
      </c>
      <c r="B371" s="8">
        <v>2024</v>
      </c>
      <c r="C371" s="8" t="s">
        <v>367</v>
      </c>
      <c r="D371" s="8" t="s">
        <v>215</v>
      </c>
      <c r="E371" s="8" t="s">
        <v>368</v>
      </c>
      <c r="F371" s="10">
        <v>27318.46</v>
      </c>
      <c r="G371" s="1" t="str">
        <f t="shared" si="5"/>
        <v>GPU</v>
      </c>
    </row>
    <row r="372" spans="1:7">
      <c r="A372" s="8" t="s">
        <v>348</v>
      </c>
      <c r="B372" s="8">
        <v>2025</v>
      </c>
      <c r="C372" s="8" t="s">
        <v>367</v>
      </c>
      <c r="D372" s="8" t="s">
        <v>215</v>
      </c>
      <c r="E372" s="8" t="s">
        <v>368</v>
      </c>
      <c r="F372" s="10">
        <v>28639.88</v>
      </c>
      <c r="G372" s="1" t="str">
        <f t="shared" si="5"/>
        <v>GPU</v>
      </c>
    </row>
    <row r="373" spans="1:7">
      <c r="A373" s="8" t="s">
        <v>349</v>
      </c>
      <c r="B373" s="8">
        <v>2025</v>
      </c>
      <c r="C373" s="8" t="s">
        <v>367</v>
      </c>
      <c r="D373" s="8" t="s">
        <v>215</v>
      </c>
      <c r="E373" s="8" t="s">
        <v>368</v>
      </c>
      <c r="F373" s="10">
        <v>26637.79</v>
      </c>
      <c r="G373" s="1" t="str">
        <f t="shared" si="5"/>
        <v>GPU</v>
      </c>
    </row>
    <row r="374" spans="1:7">
      <c r="A374" s="8" t="s">
        <v>350</v>
      </c>
      <c r="B374" s="8">
        <v>2025</v>
      </c>
      <c r="C374" s="8" t="s">
        <v>367</v>
      </c>
      <c r="D374" s="8" t="s">
        <v>215</v>
      </c>
      <c r="E374" s="8" t="s">
        <v>368</v>
      </c>
      <c r="F374" s="10">
        <v>25006.080000000002</v>
      </c>
      <c r="G374" s="1" t="str">
        <f t="shared" si="5"/>
        <v>GPU</v>
      </c>
    </row>
    <row r="375" spans="1:7">
      <c r="A375" s="8" t="s">
        <v>351</v>
      </c>
      <c r="B375" s="8">
        <v>2025</v>
      </c>
      <c r="C375" s="8" t="s">
        <v>367</v>
      </c>
      <c r="D375" s="8" t="s">
        <v>215</v>
      </c>
      <c r="E375" s="8" t="s">
        <v>368</v>
      </c>
      <c r="F375" s="10">
        <v>24892.3</v>
      </c>
      <c r="G375" s="1" t="str">
        <f t="shared" si="5"/>
        <v>GPU</v>
      </c>
    </row>
    <row r="376" spans="1:7">
      <c r="A376" s="8" t="s">
        <v>352</v>
      </c>
      <c r="B376" s="8">
        <v>2025</v>
      </c>
      <c r="C376" s="8" t="s">
        <v>367</v>
      </c>
      <c r="D376" s="8" t="s">
        <v>215</v>
      </c>
      <c r="E376" s="8" t="s">
        <v>368</v>
      </c>
      <c r="F376" s="10">
        <v>26580.7</v>
      </c>
      <c r="G376" s="1" t="str">
        <f t="shared" si="5"/>
        <v>GPU</v>
      </c>
    </row>
    <row r="377" spans="1:7">
      <c r="A377" s="8" t="s">
        <v>353</v>
      </c>
      <c r="B377" s="8">
        <v>2025</v>
      </c>
      <c r="C377" s="8" t="s">
        <v>367</v>
      </c>
      <c r="D377" s="8" t="s">
        <v>215</v>
      </c>
      <c r="E377" s="8" t="s">
        <v>368</v>
      </c>
      <c r="F377" s="10">
        <v>23150.48</v>
      </c>
      <c r="G377" s="1" t="str">
        <f t="shared" si="5"/>
        <v>GPU</v>
      </c>
    </row>
    <row r="378" spans="1:7">
      <c r="A378" s="8" t="s">
        <v>354</v>
      </c>
      <c r="B378" s="8">
        <v>2025</v>
      </c>
      <c r="C378" s="8" t="s">
        <v>367</v>
      </c>
      <c r="D378" s="8" t="s">
        <v>215</v>
      </c>
      <c r="E378" s="8" t="s">
        <v>368</v>
      </c>
      <c r="F378" s="10">
        <v>25640.35</v>
      </c>
      <c r="G378" s="1" t="str">
        <f t="shared" si="5"/>
        <v>GPU</v>
      </c>
    </row>
    <row r="379" spans="1:7">
      <c r="A379" s="8" t="s">
        <v>355</v>
      </c>
      <c r="B379" s="8">
        <v>2025</v>
      </c>
      <c r="C379" s="8" t="s">
        <v>367</v>
      </c>
      <c r="D379" s="8" t="s">
        <v>215</v>
      </c>
      <c r="E379" s="8" t="s">
        <v>368</v>
      </c>
      <c r="F379" s="10">
        <v>23947.16</v>
      </c>
      <c r="G379" s="1" t="str">
        <f t="shared" si="5"/>
        <v>GPU</v>
      </c>
    </row>
    <row r="380" spans="1:7">
      <c r="A380" s="8" t="s">
        <v>356</v>
      </c>
      <c r="B380" s="8">
        <v>2025</v>
      </c>
      <c r="C380" s="8" t="s">
        <v>367</v>
      </c>
      <c r="D380" s="8" t="s">
        <v>215</v>
      </c>
      <c r="E380" s="8" t="s">
        <v>368</v>
      </c>
      <c r="F380" s="10">
        <v>22397.64</v>
      </c>
      <c r="G380" s="1" t="str">
        <f t="shared" si="5"/>
        <v>GPU</v>
      </c>
    </row>
    <row r="381" spans="1:7">
      <c r="A381" s="8" t="s">
        <v>357</v>
      </c>
      <c r="B381" s="8">
        <v>2025</v>
      </c>
      <c r="C381" s="8" t="s">
        <v>367</v>
      </c>
      <c r="D381" s="8" t="s">
        <v>215</v>
      </c>
      <c r="E381" s="8" t="s">
        <v>368</v>
      </c>
      <c r="F381" s="10">
        <v>22469.74</v>
      </c>
      <c r="G381" s="1" t="str">
        <f t="shared" si="5"/>
        <v>GPU</v>
      </c>
    </row>
    <row r="382" spans="1:7">
      <c r="A382" s="8" t="s">
        <v>358</v>
      </c>
      <c r="B382" s="8">
        <v>2025</v>
      </c>
      <c r="C382" s="8" t="s">
        <v>367</v>
      </c>
      <c r="D382" s="8" t="s">
        <v>215</v>
      </c>
      <c r="E382" s="8" t="s">
        <v>368</v>
      </c>
      <c r="F382" s="10">
        <v>21595</v>
      </c>
      <c r="G382" s="1" t="str">
        <f t="shared" si="5"/>
        <v>GPU</v>
      </c>
    </row>
    <row r="383" spans="1:7">
      <c r="A383" s="8" t="s">
        <v>359</v>
      </c>
      <c r="B383" s="8">
        <v>2025</v>
      </c>
      <c r="C383" s="8" t="s">
        <v>367</v>
      </c>
      <c r="D383" s="8" t="s">
        <v>215</v>
      </c>
      <c r="E383" s="8" t="s">
        <v>368</v>
      </c>
      <c r="F383" s="10">
        <v>22775.64</v>
      </c>
      <c r="G383" s="1" t="str">
        <f t="shared" si="5"/>
        <v>GPU</v>
      </c>
    </row>
    <row r="384" spans="1:7">
      <c r="A384" s="8" t="s">
        <v>360</v>
      </c>
      <c r="B384" s="8">
        <v>2026</v>
      </c>
      <c r="C384" s="8" t="s">
        <v>367</v>
      </c>
      <c r="D384" s="8" t="s">
        <v>215</v>
      </c>
      <c r="E384" s="8" t="s">
        <v>368</v>
      </c>
      <c r="F384" s="10">
        <v>22126.44</v>
      </c>
      <c r="G384" s="1" t="str">
        <f t="shared" si="5"/>
        <v>GPU</v>
      </c>
    </row>
    <row r="385" spans="1:7">
      <c r="A385" s="8" t="s">
        <v>361</v>
      </c>
      <c r="B385" s="8">
        <v>2026</v>
      </c>
      <c r="C385" s="8" t="s">
        <v>367</v>
      </c>
      <c r="D385" s="8" t="s">
        <v>215</v>
      </c>
      <c r="E385" s="8" t="s">
        <v>368</v>
      </c>
      <c r="F385" s="10">
        <v>19581.29</v>
      </c>
      <c r="G385" s="1" t="str">
        <f t="shared" si="5"/>
        <v>GPU</v>
      </c>
    </row>
    <row r="386" spans="1:7">
      <c r="A386" s="8" t="s">
        <v>362</v>
      </c>
      <c r="B386" s="8">
        <v>2026</v>
      </c>
      <c r="C386" s="8" t="s">
        <v>367</v>
      </c>
      <c r="D386" s="8" t="s">
        <v>215</v>
      </c>
      <c r="E386" s="8" t="s">
        <v>368</v>
      </c>
      <c r="F386" s="10">
        <v>20183.91</v>
      </c>
      <c r="G386" s="1" t="str">
        <f t="shared" si="5"/>
        <v>GPU</v>
      </c>
    </row>
    <row r="387" spans="1:7">
      <c r="A387" s="8" t="s">
        <v>363</v>
      </c>
      <c r="B387" s="8">
        <v>2026</v>
      </c>
      <c r="C387" s="8" t="s">
        <v>367</v>
      </c>
      <c r="D387" s="8" t="s">
        <v>215</v>
      </c>
      <c r="E387" s="8" t="s">
        <v>368</v>
      </c>
      <c r="F387" s="10">
        <v>19321.240000000002</v>
      </c>
      <c r="G387" s="1" t="str">
        <f t="shared" ref="G387:G406" si="6">IF(LEFT(C387,4)="DRAM","Memory - DRAM",IF(LEFT(C387,4)="NAND","Memory - NAND",IF(LEFT(C387,3)="HBM","Memory - HBM","GPU")))</f>
        <v>GPU</v>
      </c>
    </row>
    <row r="388" spans="1:7">
      <c r="A388" s="8" t="s">
        <v>345</v>
      </c>
      <c r="B388" s="8">
        <v>2024</v>
      </c>
      <c r="C388" s="8" t="s">
        <v>369</v>
      </c>
      <c r="D388" s="8" t="s">
        <v>215</v>
      </c>
      <c r="E388" s="8" t="s">
        <v>368</v>
      </c>
      <c r="F388" s="10">
        <v>42124.09</v>
      </c>
      <c r="G388" s="1" t="str">
        <f t="shared" si="6"/>
        <v>GPU</v>
      </c>
    </row>
    <row r="389" spans="1:7">
      <c r="A389" s="8" t="s">
        <v>346</v>
      </c>
      <c r="B389" s="8">
        <v>2024</v>
      </c>
      <c r="C389" s="8" t="s">
        <v>369</v>
      </c>
      <c r="D389" s="8" t="s">
        <v>215</v>
      </c>
      <c r="E389" s="8" t="s">
        <v>368</v>
      </c>
      <c r="F389" s="10">
        <v>37258.65</v>
      </c>
      <c r="G389" s="1" t="str">
        <f t="shared" si="6"/>
        <v>GPU</v>
      </c>
    </row>
    <row r="390" spans="1:7">
      <c r="A390" s="8" t="s">
        <v>347</v>
      </c>
      <c r="B390" s="8">
        <v>2024</v>
      </c>
      <c r="C390" s="8" t="s">
        <v>369</v>
      </c>
      <c r="D390" s="8" t="s">
        <v>215</v>
      </c>
      <c r="E390" s="8" t="s">
        <v>368</v>
      </c>
      <c r="F390" s="10">
        <v>41236.94</v>
      </c>
      <c r="G390" s="1" t="str">
        <f t="shared" si="6"/>
        <v>GPU</v>
      </c>
    </row>
    <row r="391" spans="1:7">
      <c r="A391" s="8" t="s">
        <v>348</v>
      </c>
      <c r="B391" s="8">
        <v>2025</v>
      </c>
      <c r="C391" s="8" t="s">
        <v>369</v>
      </c>
      <c r="D391" s="8" t="s">
        <v>215</v>
      </c>
      <c r="E391" s="8" t="s">
        <v>368</v>
      </c>
      <c r="F391" s="10">
        <v>37949.43</v>
      </c>
      <c r="G391" s="1" t="str">
        <f t="shared" si="6"/>
        <v>GPU</v>
      </c>
    </row>
    <row r="392" spans="1:7">
      <c r="A392" s="8" t="s">
        <v>349</v>
      </c>
      <c r="B392" s="8">
        <v>2025</v>
      </c>
      <c r="C392" s="8" t="s">
        <v>369</v>
      </c>
      <c r="D392" s="8" t="s">
        <v>215</v>
      </c>
      <c r="E392" s="8" t="s">
        <v>368</v>
      </c>
      <c r="F392" s="10">
        <v>35882.32</v>
      </c>
      <c r="G392" s="1" t="str">
        <f t="shared" si="6"/>
        <v>GPU</v>
      </c>
    </row>
    <row r="393" spans="1:7">
      <c r="A393" s="8" t="s">
        <v>350</v>
      </c>
      <c r="B393" s="8">
        <v>2025</v>
      </c>
      <c r="C393" s="8" t="s">
        <v>369</v>
      </c>
      <c r="D393" s="8" t="s">
        <v>215</v>
      </c>
      <c r="E393" s="8" t="s">
        <v>368</v>
      </c>
      <c r="F393" s="10">
        <v>36223.79</v>
      </c>
      <c r="G393" s="1" t="str">
        <f t="shared" si="6"/>
        <v>GPU</v>
      </c>
    </row>
    <row r="394" spans="1:7">
      <c r="A394" s="8" t="s">
        <v>351</v>
      </c>
      <c r="B394" s="8">
        <v>2025</v>
      </c>
      <c r="C394" s="8" t="s">
        <v>369</v>
      </c>
      <c r="D394" s="8" t="s">
        <v>215</v>
      </c>
      <c r="E394" s="8" t="s">
        <v>368</v>
      </c>
      <c r="F394" s="10">
        <v>35646.43</v>
      </c>
      <c r="G394" s="1" t="str">
        <f t="shared" si="6"/>
        <v>GPU</v>
      </c>
    </row>
    <row r="395" spans="1:7">
      <c r="A395" s="8" t="s">
        <v>352</v>
      </c>
      <c r="B395" s="8">
        <v>2025</v>
      </c>
      <c r="C395" s="8" t="s">
        <v>369</v>
      </c>
      <c r="D395" s="8" t="s">
        <v>215</v>
      </c>
      <c r="E395" s="8" t="s">
        <v>368</v>
      </c>
      <c r="F395" s="10">
        <v>34600.74</v>
      </c>
      <c r="G395" s="1" t="str">
        <f t="shared" si="6"/>
        <v>GPU</v>
      </c>
    </row>
    <row r="396" spans="1:7">
      <c r="A396" s="8" t="s">
        <v>353</v>
      </c>
      <c r="B396" s="8">
        <v>2025</v>
      </c>
      <c r="C396" s="8" t="s">
        <v>369</v>
      </c>
      <c r="D396" s="8" t="s">
        <v>215</v>
      </c>
      <c r="E396" s="8" t="s">
        <v>368</v>
      </c>
      <c r="F396" s="10">
        <v>36136.81</v>
      </c>
      <c r="G396" s="1" t="str">
        <f t="shared" si="6"/>
        <v>GPU</v>
      </c>
    </row>
    <row r="397" spans="1:7">
      <c r="A397" s="8" t="s">
        <v>354</v>
      </c>
      <c r="B397" s="8">
        <v>2025</v>
      </c>
      <c r="C397" s="8" t="s">
        <v>369</v>
      </c>
      <c r="D397" s="8" t="s">
        <v>215</v>
      </c>
      <c r="E397" s="8" t="s">
        <v>368</v>
      </c>
      <c r="F397" s="10">
        <v>33650.22</v>
      </c>
      <c r="G397" s="1" t="str">
        <f t="shared" si="6"/>
        <v>GPU</v>
      </c>
    </row>
    <row r="398" spans="1:7">
      <c r="A398" s="8" t="s">
        <v>355</v>
      </c>
      <c r="B398" s="8">
        <v>2025</v>
      </c>
      <c r="C398" s="8" t="s">
        <v>369</v>
      </c>
      <c r="D398" s="8" t="s">
        <v>215</v>
      </c>
      <c r="E398" s="8" t="s">
        <v>368</v>
      </c>
      <c r="F398" s="10">
        <v>31771.32</v>
      </c>
      <c r="G398" s="1" t="str">
        <f t="shared" si="6"/>
        <v>GPU</v>
      </c>
    </row>
    <row r="399" spans="1:7">
      <c r="A399" s="8" t="s">
        <v>356</v>
      </c>
      <c r="B399" s="8">
        <v>2025</v>
      </c>
      <c r="C399" s="8" t="s">
        <v>369</v>
      </c>
      <c r="D399" s="8" t="s">
        <v>215</v>
      </c>
      <c r="E399" s="8" t="s">
        <v>368</v>
      </c>
      <c r="F399" s="10">
        <v>33476.78</v>
      </c>
      <c r="G399" s="1" t="str">
        <f t="shared" si="6"/>
        <v>GPU</v>
      </c>
    </row>
    <row r="400" spans="1:7">
      <c r="A400" s="8" t="s">
        <v>357</v>
      </c>
      <c r="B400" s="8">
        <v>2025</v>
      </c>
      <c r="C400" s="8" t="s">
        <v>369</v>
      </c>
      <c r="D400" s="8" t="s">
        <v>215</v>
      </c>
      <c r="E400" s="8" t="s">
        <v>368</v>
      </c>
      <c r="F400" s="10">
        <v>31014.15</v>
      </c>
      <c r="G400" s="1" t="str">
        <f t="shared" si="6"/>
        <v>GPU</v>
      </c>
    </row>
    <row r="401" spans="1:7">
      <c r="A401" s="8" t="s">
        <v>358</v>
      </c>
      <c r="B401" s="8">
        <v>2025</v>
      </c>
      <c r="C401" s="8" t="s">
        <v>369</v>
      </c>
      <c r="D401" s="8" t="s">
        <v>215</v>
      </c>
      <c r="E401" s="8" t="s">
        <v>368</v>
      </c>
      <c r="F401" s="10">
        <v>31687.88</v>
      </c>
      <c r="G401" s="1" t="str">
        <f t="shared" si="6"/>
        <v>GPU</v>
      </c>
    </row>
    <row r="402" spans="1:7">
      <c r="A402" s="8" t="s">
        <v>359</v>
      </c>
      <c r="B402" s="8">
        <v>2025</v>
      </c>
      <c r="C402" s="8" t="s">
        <v>369</v>
      </c>
      <c r="D402" s="8" t="s">
        <v>215</v>
      </c>
      <c r="E402" s="8" t="s">
        <v>368</v>
      </c>
      <c r="F402" s="10">
        <v>30857.25</v>
      </c>
      <c r="G402" s="1" t="str">
        <f t="shared" si="6"/>
        <v>GPU</v>
      </c>
    </row>
    <row r="403" spans="1:7">
      <c r="A403" s="8" t="s">
        <v>360</v>
      </c>
      <c r="B403" s="8">
        <v>2026</v>
      </c>
      <c r="C403" s="8" t="s">
        <v>369</v>
      </c>
      <c r="D403" s="8" t="s">
        <v>215</v>
      </c>
      <c r="E403" s="8" t="s">
        <v>368</v>
      </c>
      <c r="F403" s="10">
        <v>30409.200000000001</v>
      </c>
      <c r="G403" s="1" t="str">
        <f t="shared" si="6"/>
        <v>GPU</v>
      </c>
    </row>
    <row r="404" spans="1:7">
      <c r="A404" s="8" t="s">
        <v>361</v>
      </c>
      <c r="B404" s="8">
        <v>2026</v>
      </c>
      <c r="C404" s="8" t="s">
        <v>369</v>
      </c>
      <c r="D404" s="8" t="s">
        <v>215</v>
      </c>
      <c r="E404" s="8" t="s">
        <v>368</v>
      </c>
      <c r="F404" s="10">
        <v>33556.33</v>
      </c>
      <c r="G404" s="1" t="str">
        <f t="shared" si="6"/>
        <v>GPU</v>
      </c>
    </row>
    <row r="405" spans="1:7">
      <c r="A405" s="8" t="s">
        <v>362</v>
      </c>
      <c r="B405" s="8">
        <v>2026</v>
      </c>
      <c r="C405" s="8" t="s">
        <v>369</v>
      </c>
      <c r="D405" s="8" t="s">
        <v>215</v>
      </c>
      <c r="E405" s="8" t="s">
        <v>368</v>
      </c>
      <c r="F405" s="10">
        <v>30581.32</v>
      </c>
      <c r="G405" s="1" t="str">
        <f t="shared" si="6"/>
        <v>GPU</v>
      </c>
    </row>
    <row r="406" spans="1:7">
      <c r="A406" s="8" t="s">
        <v>363</v>
      </c>
      <c r="B406" s="8">
        <v>2026</v>
      </c>
      <c r="C406" s="8" t="s">
        <v>369</v>
      </c>
      <c r="D406" s="8" t="s">
        <v>215</v>
      </c>
      <c r="E406" s="8" t="s">
        <v>368</v>
      </c>
      <c r="F406" s="10">
        <v>30295.89</v>
      </c>
      <c r="G406" s="1" t="str">
        <f t="shared" si="6"/>
        <v>GPU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35"/>
  <sheetViews>
    <sheetView workbookViewId="0">
      <selection activeCell="G16" sqref="G16"/>
    </sheetView>
  </sheetViews>
  <sheetFormatPr defaultColWidth="8.88671875" defaultRowHeight="14.4"/>
  <cols>
    <col min="1" max="1" width="10.33203125" style="1" customWidth="1"/>
    <col min="2" max="2" width="12.33203125" style="1" customWidth="1"/>
    <col min="3" max="4" width="8.88671875" style="1"/>
    <col min="5" max="5" width="16.88671875" style="1" customWidth="1"/>
    <col min="6" max="6" width="8.88671875" style="1"/>
    <col min="7" max="7" width="15.77734375" style="1" customWidth="1"/>
    <col min="8" max="8" width="13.88671875" style="1" customWidth="1"/>
    <col min="9" max="9" width="41.6640625" style="1" customWidth="1"/>
    <col min="10" max="10" width="14" style="1" customWidth="1"/>
    <col min="11" max="11" width="15.33203125" style="1" customWidth="1"/>
    <col min="12" max="12" width="18.77734375" style="1" customWidth="1"/>
    <col min="13" max="13" width="17.44140625" style="1" customWidth="1"/>
    <col min="14" max="14" width="18.77734375" style="1" customWidth="1"/>
    <col min="15" max="15" width="17.44140625" style="1" customWidth="1"/>
    <col min="16" max="16" width="13.21875" style="1" customWidth="1"/>
    <col min="17" max="17" width="10.109375" style="1" customWidth="1"/>
  </cols>
  <sheetData>
    <row r="1" spans="1:17">
      <c r="A1" s="6" t="s">
        <v>370</v>
      </c>
      <c r="B1" s="6" t="s">
        <v>371</v>
      </c>
      <c r="C1" s="6" t="s">
        <v>15</v>
      </c>
      <c r="D1" s="6" t="s">
        <v>372</v>
      </c>
      <c r="E1" s="6" t="s">
        <v>373</v>
      </c>
      <c r="F1" s="6" t="s">
        <v>374</v>
      </c>
      <c r="G1" s="6" t="s">
        <v>375</v>
      </c>
      <c r="H1" s="6" t="s">
        <v>376</v>
      </c>
      <c r="I1" s="6" t="s">
        <v>377</v>
      </c>
      <c r="J1" s="6" t="s">
        <v>378</v>
      </c>
      <c r="K1" s="6" t="s">
        <v>379</v>
      </c>
      <c r="L1" s="6" t="s">
        <v>380</v>
      </c>
      <c r="M1" s="6" t="s">
        <v>381</v>
      </c>
      <c r="N1" s="6" t="s">
        <v>382</v>
      </c>
      <c r="O1" s="6" t="s">
        <v>383</v>
      </c>
      <c r="P1" s="7" t="s">
        <v>384</v>
      </c>
      <c r="Q1" s="7" t="s">
        <v>385</v>
      </c>
    </row>
    <row r="2" spans="1:17">
      <c r="A2" s="8" t="s">
        <v>386</v>
      </c>
      <c r="B2" s="9">
        <v>43313</v>
      </c>
      <c r="C2" s="8">
        <v>2018</v>
      </c>
      <c r="D2" s="8">
        <v>8</v>
      </c>
      <c r="E2" s="8" t="s">
        <v>121</v>
      </c>
      <c r="F2" s="8" t="s">
        <v>387</v>
      </c>
      <c r="G2" s="8" t="s">
        <v>388</v>
      </c>
      <c r="H2" s="8">
        <v>5</v>
      </c>
      <c r="I2" s="8" t="s">
        <v>389</v>
      </c>
      <c r="J2" s="8">
        <v>1</v>
      </c>
      <c r="K2" s="8">
        <v>0</v>
      </c>
      <c r="L2" s="8">
        <v>0</v>
      </c>
      <c r="M2" s="8">
        <v>1</v>
      </c>
      <c r="N2" s="8">
        <v>0</v>
      </c>
      <c r="O2" s="8">
        <v>0</v>
      </c>
      <c r="P2" s="1" t="str">
        <f>IF(H2&gt;=9,"Critical",IF(H2&gt;=7,"High",IF(H2&gt;=5,"Medium","Low")))</f>
        <v>Medium</v>
      </c>
      <c r="Q2" s="1" t="str">
        <f>IF(O2=1,"Trump 2.0",IF(N2=1,"Biden",IF(M2=1,"Trump 1.0","Other")))</f>
        <v>Trump 1.0</v>
      </c>
    </row>
    <row r="3" spans="1:17">
      <c r="A3" s="8" t="s">
        <v>390</v>
      </c>
      <c r="B3" s="9">
        <v>43600</v>
      </c>
      <c r="C3" s="8">
        <v>2019</v>
      </c>
      <c r="D3" s="8">
        <v>5</v>
      </c>
      <c r="E3" s="8" t="s">
        <v>121</v>
      </c>
      <c r="F3" s="8" t="s">
        <v>85</v>
      </c>
      <c r="G3" s="8" t="s">
        <v>391</v>
      </c>
      <c r="H3" s="8">
        <v>9</v>
      </c>
      <c r="I3" s="8" t="s">
        <v>392</v>
      </c>
      <c r="J3" s="8">
        <v>1</v>
      </c>
      <c r="K3" s="8">
        <v>0</v>
      </c>
      <c r="L3" s="8">
        <v>0</v>
      </c>
      <c r="M3" s="8">
        <v>1</v>
      </c>
      <c r="N3" s="8">
        <v>0</v>
      </c>
      <c r="O3" s="8">
        <v>0</v>
      </c>
      <c r="P3" s="1" t="str">
        <f t="shared" ref="P3:P35" si="0">IF(H3&gt;=9,"Critical",IF(H3&gt;=7,"High",IF(H3&gt;=5,"Medium","Low")))</f>
        <v>Critical</v>
      </c>
      <c r="Q3" s="1" t="str">
        <f t="shared" ref="Q3:Q35" si="1">IF(O3=1,"Trump 2.0",IF(N3=1,"Biden",IF(M3=1,"Trump 1.0","Other")))</f>
        <v>Trump 1.0</v>
      </c>
    </row>
    <row r="4" spans="1:17">
      <c r="A4" s="8" t="s">
        <v>393</v>
      </c>
      <c r="B4" s="9">
        <v>43606</v>
      </c>
      <c r="C4" s="8">
        <v>2019</v>
      </c>
      <c r="D4" s="8">
        <v>5</v>
      </c>
      <c r="E4" s="8" t="s">
        <v>121</v>
      </c>
      <c r="F4" s="8" t="s">
        <v>85</v>
      </c>
      <c r="G4" s="8" t="s">
        <v>394</v>
      </c>
      <c r="H4" s="8">
        <v>3</v>
      </c>
      <c r="I4" s="8" t="s">
        <v>395</v>
      </c>
      <c r="J4" s="8">
        <v>1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1" t="str">
        <f t="shared" si="0"/>
        <v>Low</v>
      </c>
      <c r="Q4" s="1" t="str">
        <f t="shared" si="1"/>
        <v>Trump 1.0</v>
      </c>
    </row>
    <row r="5" spans="1:17">
      <c r="A5" s="8" t="s">
        <v>396</v>
      </c>
      <c r="B5" s="9">
        <v>43966</v>
      </c>
      <c r="C5" s="8">
        <v>2020</v>
      </c>
      <c r="D5" s="8">
        <v>5</v>
      </c>
      <c r="E5" s="8" t="s">
        <v>121</v>
      </c>
      <c r="F5" s="8" t="s">
        <v>85</v>
      </c>
      <c r="G5" s="8" t="s">
        <v>397</v>
      </c>
      <c r="H5" s="8">
        <v>9</v>
      </c>
      <c r="I5" s="8" t="s">
        <v>398</v>
      </c>
      <c r="J5" s="8">
        <v>1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1" t="str">
        <f t="shared" si="0"/>
        <v>Critical</v>
      </c>
      <c r="Q5" s="1" t="str">
        <f t="shared" si="1"/>
        <v>Trump 1.0</v>
      </c>
    </row>
    <row r="6" spans="1:17">
      <c r="A6" s="8" t="s">
        <v>399</v>
      </c>
      <c r="B6" s="9">
        <v>44089</v>
      </c>
      <c r="C6" s="8">
        <v>2020</v>
      </c>
      <c r="D6" s="8">
        <v>9</v>
      </c>
      <c r="E6" s="8" t="s">
        <v>121</v>
      </c>
      <c r="F6" s="8" t="s">
        <v>85</v>
      </c>
      <c r="G6" s="8" t="s">
        <v>400</v>
      </c>
      <c r="H6" s="8">
        <v>8</v>
      </c>
      <c r="I6" s="8" t="s">
        <v>401</v>
      </c>
      <c r="J6" s="8">
        <v>1</v>
      </c>
      <c r="K6" s="8">
        <v>0</v>
      </c>
      <c r="L6" s="8">
        <v>0</v>
      </c>
      <c r="M6" s="8">
        <v>1</v>
      </c>
      <c r="N6" s="8">
        <v>0</v>
      </c>
      <c r="O6" s="8">
        <v>0</v>
      </c>
      <c r="P6" s="1" t="str">
        <f t="shared" si="0"/>
        <v>High</v>
      </c>
      <c r="Q6" s="1" t="str">
        <f t="shared" si="1"/>
        <v>Trump 1.0</v>
      </c>
    </row>
    <row r="7" spans="1:17">
      <c r="A7" s="8" t="s">
        <v>402</v>
      </c>
      <c r="B7" s="9">
        <v>44183</v>
      </c>
      <c r="C7" s="8">
        <v>2020</v>
      </c>
      <c r="D7" s="8">
        <v>12</v>
      </c>
      <c r="E7" s="8" t="s">
        <v>121</v>
      </c>
      <c r="F7" s="8" t="s">
        <v>123</v>
      </c>
      <c r="G7" s="8" t="s">
        <v>403</v>
      </c>
      <c r="H7" s="8">
        <v>7</v>
      </c>
      <c r="I7" s="8" t="s">
        <v>404</v>
      </c>
      <c r="J7" s="8">
        <v>1</v>
      </c>
      <c r="K7" s="8">
        <v>0</v>
      </c>
      <c r="L7" s="8">
        <v>0</v>
      </c>
      <c r="M7" s="8">
        <v>1</v>
      </c>
      <c r="N7" s="8">
        <v>0</v>
      </c>
      <c r="O7" s="8">
        <v>0</v>
      </c>
      <c r="P7" s="1" t="str">
        <f t="shared" si="0"/>
        <v>High</v>
      </c>
      <c r="Q7" s="1" t="str">
        <f t="shared" si="1"/>
        <v>Trump 1.0</v>
      </c>
    </row>
    <row r="8" spans="1:17">
      <c r="A8" s="8" t="s">
        <v>405</v>
      </c>
      <c r="B8" s="9">
        <v>44294</v>
      </c>
      <c r="C8" s="8">
        <v>2021</v>
      </c>
      <c r="D8" s="8">
        <v>4</v>
      </c>
      <c r="E8" s="8" t="s">
        <v>121</v>
      </c>
      <c r="F8" s="8" t="s">
        <v>406</v>
      </c>
      <c r="G8" s="8" t="s">
        <v>407</v>
      </c>
      <c r="H8" s="8">
        <v>5</v>
      </c>
      <c r="I8" s="8" t="s">
        <v>408</v>
      </c>
      <c r="J8" s="8">
        <v>1</v>
      </c>
      <c r="K8" s="8">
        <v>0</v>
      </c>
      <c r="L8" s="8">
        <v>0</v>
      </c>
      <c r="M8" s="8">
        <v>0</v>
      </c>
      <c r="N8" s="8">
        <v>1</v>
      </c>
      <c r="O8" s="8">
        <v>0</v>
      </c>
      <c r="P8" s="1" t="str">
        <f t="shared" si="0"/>
        <v>Medium</v>
      </c>
      <c r="Q8" s="1" t="str">
        <f t="shared" si="1"/>
        <v>Biden</v>
      </c>
    </row>
    <row r="9" spans="1:17">
      <c r="A9" s="8" t="s">
        <v>409</v>
      </c>
      <c r="B9" s="9">
        <v>44782</v>
      </c>
      <c r="C9" s="8">
        <v>2022</v>
      </c>
      <c r="D9" s="8">
        <v>8</v>
      </c>
      <c r="E9" s="8" t="s">
        <v>121</v>
      </c>
      <c r="F9" s="8" t="s">
        <v>410</v>
      </c>
      <c r="G9" s="8" t="s">
        <v>411</v>
      </c>
      <c r="H9" s="8">
        <v>10</v>
      </c>
      <c r="I9" s="8" t="s">
        <v>412</v>
      </c>
      <c r="J9" s="8">
        <v>1</v>
      </c>
      <c r="K9" s="8">
        <v>0</v>
      </c>
      <c r="L9" s="8">
        <v>0</v>
      </c>
      <c r="M9" s="8">
        <v>0</v>
      </c>
      <c r="N9" s="8">
        <v>1</v>
      </c>
      <c r="O9" s="8">
        <v>0</v>
      </c>
      <c r="P9" s="1" t="str">
        <f t="shared" si="0"/>
        <v>Critical</v>
      </c>
      <c r="Q9" s="1" t="str">
        <f t="shared" si="1"/>
        <v>Biden</v>
      </c>
    </row>
    <row r="10" spans="1:17">
      <c r="A10" s="8" t="s">
        <v>413</v>
      </c>
      <c r="B10" s="9">
        <v>44804</v>
      </c>
      <c r="C10" s="8">
        <v>2022</v>
      </c>
      <c r="D10" s="8">
        <v>8</v>
      </c>
      <c r="E10" s="8" t="s">
        <v>121</v>
      </c>
      <c r="F10" s="8" t="s">
        <v>414</v>
      </c>
      <c r="G10" s="8" t="s">
        <v>415</v>
      </c>
      <c r="H10" s="8">
        <v>8</v>
      </c>
      <c r="I10" s="8" t="s">
        <v>416</v>
      </c>
      <c r="J10" s="8">
        <v>1</v>
      </c>
      <c r="K10" s="8">
        <v>0</v>
      </c>
      <c r="L10" s="8">
        <v>0</v>
      </c>
      <c r="M10" s="8">
        <v>0</v>
      </c>
      <c r="N10" s="8">
        <v>1</v>
      </c>
      <c r="O10" s="8">
        <v>0</v>
      </c>
      <c r="P10" s="1" t="str">
        <f t="shared" si="0"/>
        <v>High</v>
      </c>
      <c r="Q10" s="1" t="str">
        <f t="shared" si="1"/>
        <v>Biden</v>
      </c>
    </row>
    <row r="11" spans="1:17">
      <c r="A11" s="8" t="s">
        <v>417</v>
      </c>
      <c r="B11" s="9">
        <v>44841</v>
      </c>
      <c r="C11" s="8">
        <v>2022</v>
      </c>
      <c r="D11" s="8">
        <v>10</v>
      </c>
      <c r="E11" s="8" t="s">
        <v>121</v>
      </c>
      <c r="F11" s="8" t="s">
        <v>418</v>
      </c>
      <c r="G11" s="8" t="s">
        <v>419</v>
      </c>
      <c r="H11" s="8">
        <v>10</v>
      </c>
      <c r="I11" s="8" t="s">
        <v>420</v>
      </c>
      <c r="J11" s="8">
        <v>1</v>
      </c>
      <c r="K11" s="8">
        <v>0</v>
      </c>
      <c r="L11" s="8">
        <v>0</v>
      </c>
      <c r="M11" s="8">
        <v>0</v>
      </c>
      <c r="N11" s="8">
        <v>1</v>
      </c>
      <c r="O11" s="8">
        <v>0</v>
      </c>
      <c r="P11" s="1" t="str">
        <f t="shared" si="0"/>
        <v>Critical</v>
      </c>
      <c r="Q11" s="1" t="str">
        <f t="shared" si="1"/>
        <v>Biden</v>
      </c>
    </row>
    <row r="12" spans="1:17">
      <c r="A12" s="8" t="s">
        <v>421</v>
      </c>
      <c r="B12" s="9">
        <v>44910</v>
      </c>
      <c r="C12" s="8">
        <v>2022</v>
      </c>
      <c r="D12" s="8">
        <v>12</v>
      </c>
      <c r="E12" s="8" t="s">
        <v>121</v>
      </c>
      <c r="F12" s="8" t="s">
        <v>422</v>
      </c>
      <c r="G12" s="8" t="s">
        <v>423</v>
      </c>
      <c r="H12" s="8">
        <v>8</v>
      </c>
      <c r="I12" s="8" t="s">
        <v>424</v>
      </c>
      <c r="J12" s="8">
        <v>1</v>
      </c>
      <c r="K12" s="8">
        <v>0</v>
      </c>
      <c r="L12" s="8">
        <v>0</v>
      </c>
      <c r="M12" s="8">
        <v>0</v>
      </c>
      <c r="N12" s="8">
        <v>1</v>
      </c>
      <c r="O12" s="8">
        <v>0</v>
      </c>
      <c r="P12" s="1" t="str">
        <f t="shared" si="0"/>
        <v>High</v>
      </c>
      <c r="Q12" s="1" t="str">
        <f t="shared" si="1"/>
        <v>Biden</v>
      </c>
    </row>
    <row r="13" spans="1:17">
      <c r="A13" s="8" t="s">
        <v>425</v>
      </c>
      <c r="B13" s="9">
        <v>44953</v>
      </c>
      <c r="C13" s="8">
        <v>2023</v>
      </c>
      <c r="D13" s="8">
        <v>1</v>
      </c>
      <c r="E13" s="8" t="s">
        <v>121</v>
      </c>
      <c r="F13" s="8" t="s">
        <v>426</v>
      </c>
      <c r="G13" s="8" t="s">
        <v>427</v>
      </c>
      <c r="H13" s="8">
        <v>9</v>
      </c>
      <c r="I13" s="8" t="s">
        <v>428</v>
      </c>
      <c r="J13" s="8">
        <v>1</v>
      </c>
      <c r="K13" s="8">
        <v>0</v>
      </c>
      <c r="L13" s="8">
        <v>0</v>
      </c>
      <c r="M13" s="8">
        <v>0</v>
      </c>
      <c r="N13" s="8">
        <v>1</v>
      </c>
      <c r="O13" s="8">
        <v>0</v>
      </c>
      <c r="P13" s="1" t="str">
        <f t="shared" si="0"/>
        <v>Critical</v>
      </c>
      <c r="Q13" s="1" t="str">
        <f t="shared" si="1"/>
        <v>Biden</v>
      </c>
    </row>
    <row r="14" spans="1:17">
      <c r="A14" s="8" t="s">
        <v>429</v>
      </c>
      <c r="B14" s="9">
        <v>44994</v>
      </c>
      <c r="C14" s="8">
        <v>2023</v>
      </c>
      <c r="D14" s="8">
        <v>3</v>
      </c>
      <c r="E14" s="8" t="s">
        <v>163</v>
      </c>
      <c r="F14" s="8" t="s">
        <v>172</v>
      </c>
      <c r="G14" s="8" t="s">
        <v>430</v>
      </c>
      <c r="H14" s="8">
        <v>9</v>
      </c>
      <c r="I14" s="8" t="s">
        <v>431</v>
      </c>
      <c r="J14" s="8">
        <v>0</v>
      </c>
      <c r="K14" s="8">
        <v>0</v>
      </c>
      <c r="L14" s="8">
        <v>1</v>
      </c>
      <c r="M14" s="8">
        <v>0</v>
      </c>
      <c r="N14" s="8">
        <v>1</v>
      </c>
      <c r="O14" s="8">
        <v>0</v>
      </c>
      <c r="P14" s="1" t="str">
        <f t="shared" si="0"/>
        <v>Critical</v>
      </c>
      <c r="Q14" s="1" t="str">
        <f t="shared" si="1"/>
        <v>Biden</v>
      </c>
    </row>
    <row r="15" spans="1:17">
      <c r="A15" s="8" t="s">
        <v>432</v>
      </c>
      <c r="B15" s="9">
        <v>45069</v>
      </c>
      <c r="C15" s="8">
        <v>2023</v>
      </c>
      <c r="D15" s="8">
        <v>5</v>
      </c>
      <c r="E15" s="8" t="s">
        <v>125</v>
      </c>
      <c r="F15" s="8" t="s">
        <v>146</v>
      </c>
      <c r="G15" s="8" t="s">
        <v>433</v>
      </c>
      <c r="H15" s="8">
        <v>6</v>
      </c>
      <c r="I15" s="8" t="s">
        <v>434</v>
      </c>
      <c r="J15" s="8">
        <v>0</v>
      </c>
      <c r="K15" s="8">
        <v>1</v>
      </c>
      <c r="L15" s="8">
        <v>0</v>
      </c>
      <c r="M15" s="8">
        <v>0</v>
      </c>
      <c r="N15" s="8">
        <v>1</v>
      </c>
      <c r="O15" s="8">
        <v>0</v>
      </c>
      <c r="P15" s="1" t="str">
        <f t="shared" si="0"/>
        <v>Medium</v>
      </c>
      <c r="Q15" s="1" t="str">
        <f t="shared" si="1"/>
        <v>Biden</v>
      </c>
    </row>
    <row r="16" spans="1:17">
      <c r="A16" s="8" t="s">
        <v>435</v>
      </c>
      <c r="B16" s="9">
        <v>45111</v>
      </c>
      <c r="C16" s="8">
        <v>2023</v>
      </c>
      <c r="D16" s="8">
        <v>7</v>
      </c>
      <c r="E16" s="8" t="s">
        <v>125</v>
      </c>
      <c r="F16" s="8" t="s">
        <v>436</v>
      </c>
      <c r="G16" s="8" t="s">
        <v>437</v>
      </c>
      <c r="H16" s="8">
        <v>7</v>
      </c>
      <c r="I16" s="8" t="s">
        <v>438</v>
      </c>
      <c r="J16" s="8">
        <v>0</v>
      </c>
      <c r="K16" s="8">
        <v>1</v>
      </c>
      <c r="L16" s="8">
        <v>0</v>
      </c>
      <c r="M16" s="8">
        <v>0</v>
      </c>
      <c r="N16" s="8">
        <v>1</v>
      </c>
      <c r="O16" s="8">
        <v>0</v>
      </c>
      <c r="P16" s="1" t="str">
        <f t="shared" si="0"/>
        <v>High</v>
      </c>
      <c r="Q16" s="1" t="str">
        <f t="shared" si="1"/>
        <v>Biden</v>
      </c>
    </row>
    <row r="17" spans="1:17">
      <c r="A17" s="8" t="s">
        <v>439</v>
      </c>
      <c r="B17" s="9">
        <v>45147</v>
      </c>
      <c r="C17" s="8">
        <v>2023</v>
      </c>
      <c r="D17" s="8">
        <v>8</v>
      </c>
      <c r="E17" s="8" t="s">
        <v>121</v>
      </c>
      <c r="F17" s="8" t="s">
        <v>440</v>
      </c>
      <c r="G17" s="8" t="s">
        <v>441</v>
      </c>
      <c r="H17" s="8">
        <v>6</v>
      </c>
      <c r="I17" s="8" t="s">
        <v>442</v>
      </c>
      <c r="J17" s="8">
        <v>1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1" t="str">
        <f t="shared" si="0"/>
        <v>Medium</v>
      </c>
      <c r="Q17" s="1" t="str">
        <f t="shared" si="1"/>
        <v>Biden</v>
      </c>
    </row>
    <row r="18" spans="1:17">
      <c r="A18" s="8" t="s">
        <v>443</v>
      </c>
      <c r="B18" s="9">
        <v>45216</v>
      </c>
      <c r="C18" s="8">
        <v>2023</v>
      </c>
      <c r="D18" s="8">
        <v>10</v>
      </c>
      <c r="E18" s="8" t="s">
        <v>121</v>
      </c>
      <c r="F18" s="8" t="s">
        <v>444</v>
      </c>
      <c r="G18" s="8" t="s">
        <v>445</v>
      </c>
      <c r="H18" s="8">
        <v>9</v>
      </c>
      <c r="I18" s="8" t="s">
        <v>446</v>
      </c>
      <c r="J18" s="8">
        <v>1</v>
      </c>
      <c r="K18" s="8">
        <v>0</v>
      </c>
      <c r="L18" s="8">
        <v>0</v>
      </c>
      <c r="M18" s="8">
        <v>0</v>
      </c>
      <c r="N18" s="8">
        <v>1</v>
      </c>
      <c r="O18" s="8">
        <v>0</v>
      </c>
      <c r="P18" s="1" t="str">
        <f t="shared" si="0"/>
        <v>Critical</v>
      </c>
      <c r="Q18" s="1" t="str">
        <f t="shared" si="1"/>
        <v>Biden</v>
      </c>
    </row>
    <row r="19" spans="1:17">
      <c r="A19" s="8" t="s">
        <v>447</v>
      </c>
      <c r="B19" s="9">
        <v>45281</v>
      </c>
      <c r="C19" s="8">
        <v>2023</v>
      </c>
      <c r="D19" s="8">
        <v>12</v>
      </c>
      <c r="E19" s="8" t="s">
        <v>125</v>
      </c>
      <c r="F19" s="8" t="s">
        <v>448</v>
      </c>
      <c r="G19" s="8" t="s">
        <v>449</v>
      </c>
      <c r="H19" s="8">
        <v>6</v>
      </c>
      <c r="I19" s="8" t="s">
        <v>450</v>
      </c>
      <c r="J19" s="8">
        <v>0</v>
      </c>
      <c r="K19" s="8">
        <v>1</v>
      </c>
      <c r="L19" s="8">
        <v>0</v>
      </c>
      <c r="M19" s="8">
        <v>0</v>
      </c>
      <c r="N19" s="8">
        <v>1</v>
      </c>
      <c r="O19" s="8">
        <v>0</v>
      </c>
      <c r="P19" s="1" t="str">
        <f t="shared" si="0"/>
        <v>Medium</v>
      </c>
      <c r="Q19" s="1" t="str">
        <f t="shared" si="1"/>
        <v>Biden</v>
      </c>
    </row>
    <row r="20" spans="1:17">
      <c r="A20" s="8" t="s">
        <v>451</v>
      </c>
      <c r="B20" s="9">
        <v>45380</v>
      </c>
      <c r="C20" s="8">
        <v>2024</v>
      </c>
      <c r="D20" s="8">
        <v>3</v>
      </c>
      <c r="E20" s="8" t="s">
        <v>121</v>
      </c>
      <c r="F20" s="8" t="s">
        <v>452</v>
      </c>
      <c r="G20" s="8" t="s">
        <v>453</v>
      </c>
      <c r="H20" s="8">
        <v>7</v>
      </c>
      <c r="I20" s="8" t="s">
        <v>454</v>
      </c>
      <c r="J20" s="8">
        <v>1</v>
      </c>
      <c r="K20" s="8">
        <v>0</v>
      </c>
      <c r="L20" s="8">
        <v>0</v>
      </c>
      <c r="M20" s="8">
        <v>0</v>
      </c>
      <c r="N20" s="8">
        <v>1</v>
      </c>
      <c r="O20" s="8">
        <v>0</v>
      </c>
      <c r="P20" s="1" t="str">
        <f t="shared" si="0"/>
        <v>High</v>
      </c>
      <c r="Q20" s="1" t="str">
        <f t="shared" si="1"/>
        <v>Biden</v>
      </c>
    </row>
    <row r="21" spans="1:17">
      <c r="A21" s="8" t="s">
        <v>455</v>
      </c>
      <c r="B21" s="9">
        <v>45419</v>
      </c>
      <c r="C21" s="8">
        <v>2024</v>
      </c>
      <c r="D21" s="8">
        <v>5</v>
      </c>
      <c r="E21" s="8" t="s">
        <v>121</v>
      </c>
      <c r="F21" s="8" t="s">
        <v>456</v>
      </c>
      <c r="G21" s="8" t="s">
        <v>457</v>
      </c>
      <c r="H21" s="8">
        <v>6</v>
      </c>
      <c r="I21" s="8" t="s">
        <v>458</v>
      </c>
      <c r="J21" s="8">
        <v>1</v>
      </c>
      <c r="K21" s="8">
        <v>0</v>
      </c>
      <c r="L21" s="8">
        <v>0</v>
      </c>
      <c r="M21" s="8">
        <v>0</v>
      </c>
      <c r="N21" s="8">
        <v>1</v>
      </c>
      <c r="O21" s="8">
        <v>0</v>
      </c>
      <c r="P21" s="1" t="str">
        <f t="shared" si="0"/>
        <v>Medium</v>
      </c>
      <c r="Q21" s="1" t="str">
        <f t="shared" si="1"/>
        <v>Biden</v>
      </c>
    </row>
    <row r="22" spans="1:17">
      <c r="A22" s="8" t="s">
        <v>459</v>
      </c>
      <c r="B22" s="9">
        <v>45516</v>
      </c>
      <c r="C22" s="8">
        <v>2024</v>
      </c>
      <c r="D22" s="8">
        <v>8</v>
      </c>
      <c r="E22" s="8" t="s">
        <v>125</v>
      </c>
      <c r="F22" s="8" t="s">
        <v>460</v>
      </c>
      <c r="G22" s="8" t="s">
        <v>461</v>
      </c>
      <c r="H22" s="8">
        <v>5</v>
      </c>
      <c r="I22" s="8" t="s">
        <v>462</v>
      </c>
      <c r="J22" s="8">
        <v>0</v>
      </c>
      <c r="K22" s="8">
        <v>1</v>
      </c>
      <c r="L22" s="8">
        <v>0</v>
      </c>
      <c r="M22" s="8">
        <v>0</v>
      </c>
      <c r="N22" s="8">
        <v>1</v>
      </c>
      <c r="O22" s="8">
        <v>0</v>
      </c>
      <c r="P22" s="1" t="str">
        <f t="shared" si="0"/>
        <v>Medium</v>
      </c>
      <c r="Q22" s="1" t="str">
        <f t="shared" si="1"/>
        <v>Biden</v>
      </c>
    </row>
    <row r="23" spans="1:17">
      <c r="A23" s="8" t="s">
        <v>463</v>
      </c>
      <c r="B23" s="9">
        <v>45540</v>
      </c>
      <c r="C23" s="8">
        <v>2024</v>
      </c>
      <c r="D23" s="8">
        <v>9</v>
      </c>
      <c r="E23" s="8" t="s">
        <v>121</v>
      </c>
      <c r="F23" s="8" t="s">
        <v>464</v>
      </c>
      <c r="G23" s="8" t="s">
        <v>465</v>
      </c>
      <c r="H23" s="8">
        <v>6</v>
      </c>
      <c r="I23" s="8" t="s">
        <v>466</v>
      </c>
      <c r="J23" s="8">
        <v>1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1" t="str">
        <f t="shared" si="0"/>
        <v>Medium</v>
      </c>
      <c r="Q23" s="1" t="str">
        <f t="shared" si="1"/>
        <v>Biden</v>
      </c>
    </row>
    <row r="24" spans="1:17">
      <c r="A24" s="8" t="s">
        <v>467</v>
      </c>
      <c r="B24" s="9">
        <v>45628</v>
      </c>
      <c r="C24" s="8">
        <v>2024</v>
      </c>
      <c r="D24" s="8">
        <v>12</v>
      </c>
      <c r="E24" s="8" t="s">
        <v>121</v>
      </c>
      <c r="F24" s="8" t="s">
        <v>468</v>
      </c>
      <c r="G24" s="8" t="s">
        <v>469</v>
      </c>
      <c r="H24" s="8">
        <v>9</v>
      </c>
      <c r="I24" s="8" t="s">
        <v>470</v>
      </c>
      <c r="J24" s="8">
        <v>1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  <c r="P24" s="1" t="str">
        <f t="shared" si="0"/>
        <v>Critical</v>
      </c>
      <c r="Q24" s="1" t="str">
        <f t="shared" si="1"/>
        <v>Biden</v>
      </c>
    </row>
    <row r="25" spans="1:17">
      <c r="A25" s="8" t="s">
        <v>471</v>
      </c>
      <c r="B25" s="9">
        <v>45630</v>
      </c>
      <c r="C25" s="8">
        <v>2024</v>
      </c>
      <c r="D25" s="8">
        <v>12</v>
      </c>
      <c r="E25" s="8" t="s">
        <v>125</v>
      </c>
      <c r="F25" s="8" t="s">
        <v>472</v>
      </c>
      <c r="G25" s="8" t="s">
        <v>473</v>
      </c>
      <c r="H25" s="8">
        <v>7</v>
      </c>
      <c r="I25" s="8" t="s">
        <v>474</v>
      </c>
      <c r="J25" s="8">
        <v>0</v>
      </c>
      <c r="K25" s="8">
        <v>1</v>
      </c>
      <c r="L25" s="8">
        <v>0</v>
      </c>
      <c r="M25" s="8">
        <v>0</v>
      </c>
      <c r="N25" s="8">
        <v>1</v>
      </c>
      <c r="O25" s="8">
        <v>0</v>
      </c>
      <c r="P25" s="1" t="str">
        <f t="shared" si="0"/>
        <v>High</v>
      </c>
      <c r="Q25" s="1" t="str">
        <f t="shared" si="1"/>
        <v>Biden</v>
      </c>
    </row>
    <row r="26" spans="1:17">
      <c r="A26" s="8" t="s">
        <v>475</v>
      </c>
      <c r="B26" s="9">
        <v>45670</v>
      </c>
      <c r="C26" s="8">
        <v>2025</v>
      </c>
      <c r="D26" s="8">
        <v>1</v>
      </c>
      <c r="E26" s="8" t="s">
        <v>121</v>
      </c>
      <c r="F26" s="8" t="s">
        <v>476</v>
      </c>
      <c r="G26" s="8" t="s">
        <v>477</v>
      </c>
      <c r="H26" s="8">
        <v>8</v>
      </c>
      <c r="I26" s="8" t="s">
        <v>478</v>
      </c>
      <c r="J26" s="8">
        <v>1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1" t="str">
        <f t="shared" si="0"/>
        <v>High</v>
      </c>
      <c r="Q26" s="1" t="str">
        <f t="shared" si="1"/>
        <v>Trump 2.0</v>
      </c>
    </row>
    <row r="27" spans="1:17">
      <c r="A27" s="8" t="s">
        <v>479</v>
      </c>
      <c r="B27" s="9">
        <v>45700</v>
      </c>
      <c r="C27" s="8">
        <v>2025</v>
      </c>
      <c r="D27" s="8">
        <v>2</v>
      </c>
      <c r="E27" s="8" t="s">
        <v>121</v>
      </c>
      <c r="F27" s="8" t="s">
        <v>480</v>
      </c>
      <c r="G27" s="8" t="s">
        <v>481</v>
      </c>
      <c r="H27" s="8">
        <v>7</v>
      </c>
      <c r="I27" s="8" t="s">
        <v>482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1" t="str">
        <f t="shared" si="0"/>
        <v>High</v>
      </c>
      <c r="Q27" s="1" t="str">
        <f t="shared" si="1"/>
        <v>Trump 2.0</v>
      </c>
    </row>
    <row r="28" spans="1:17">
      <c r="A28" s="8" t="s">
        <v>483</v>
      </c>
      <c r="B28" s="9">
        <v>45762</v>
      </c>
      <c r="C28" s="8">
        <v>2025</v>
      </c>
      <c r="D28" s="8">
        <v>4</v>
      </c>
      <c r="E28" s="8" t="s">
        <v>121</v>
      </c>
      <c r="F28" s="8" t="s">
        <v>484</v>
      </c>
      <c r="G28" s="8" t="s">
        <v>485</v>
      </c>
      <c r="H28" s="8">
        <v>6</v>
      </c>
      <c r="I28" s="8" t="s">
        <v>486</v>
      </c>
      <c r="J28" s="8">
        <v>1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1" t="str">
        <f t="shared" si="0"/>
        <v>Medium</v>
      </c>
      <c r="Q28" s="1" t="str">
        <f t="shared" si="1"/>
        <v>Trump 2.0</v>
      </c>
    </row>
    <row r="29" spans="1:17">
      <c r="A29" s="8" t="s">
        <v>487</v>
      </c>
      <c r="B29" s="9">
        <v>45777</v>
      </c>
      <c r="C29" s="8">
        <v>2025</v>
      </c>
      <c r="D29" s="8">
        <v>4</v>
      </c>
      <c r="E29" s="8" t="s">
        <v>125</v>
      </c>
      <c r="F29" s="8" t="s">
        <v>488</v>
      </c>
      <c r="G29" s="8" t="s">
        <v>489</v>
      </c>
      <c r="H29" s="8">
        <v>8</v>
      </c>
      <c r="I29" s="8" t="s">
        <v>490</v>
      </c>
      <c r="J29" s="8">
        <v>0</v>
      </c>
      <c r="K29" s="8">
        <v>1</v>
      </c>
      <c r="L29" s="8">
        <v>0</v>
      </c>
      <c r="M29" s="8">
        <v>0</v>
      </c>
      <c r="N29" s="8">
        <v>0</v>
      </c>
      <c r="O29" s="8">
        <v>1</v>
      </c>
      <c r="P29" s="1" t="str">
        <f t="shared" si="0"/>
        <v>High</v>
      </c>
      <c r="Q29" s="1" t="str">
        <f t="shared" si="1"/>
        <v>Trump 2.0</v>
      </c>
    </row>
    <row r="30" spans="1:17">
      <c r="A30" s="8" t="s">
        <v>491</v>
      </c>
      <c r="B30" s="9">
        <v>45853</v>
      </c>
      <c r="C30" s="8">
        <v>2025</v>
      </c>
      <c r="D30" s="8">
        <v>7</v>
      </c>
      <c r="E30" s="8" t="s">
        <v>121</v>
      </c>
      <c r="F30" s="8" t="s">
        <v>492</v>
      </c>
      <c r="G30" s="8" t="s">
        <v>493</v>
      </c>
      <c r="H30" s="8">
        <v>6</v>
      </c>
      <c r="I30" s="8" t="s">
        <v>494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1" t="str">
        <f t="shared" si="0"/>
        <v>Medium</v>
      </c>
      <c r="Q30" s="1" t="str">
        <f t="shared" si="1"/>
        <v>Trump 2.0</v>
      </c>
    </row>
    <row r="31" spans="1:17">
      <c r="A31" s="8" t="s">
        <v>495</v>
      </c>
      <c r="B31" s="9">
        <v>45894</v>
      </c>
      <c r="C31" s="8">
        <v>2025</v>
      </c>
      <c r="D31" s="8">
        <v>8</v>
      </c>
      <c r="E31" s="8" t="s">
        <v>121</v>
      </c>
      <c r="F31" s="8" t="s">
        <v>496</v>
      </c>
      <c r="G31" s="8" t="s">
        <v>497</v>
      </c>
      <c r="H31" s="8">
        <v>7</v>
      </c>
      <c r="I31" s="8" t="s">
        <v>498</v>
      </c>
      <c r="J31" s="8">
        <v>1</v>
      </c>
      <c r="K31" s="8">
        <v>0</v>
      </c>
      <c r="L31" s="8">
        <v>0</v>
      </c>
      <c r="M31" s="8">
        <v>0</v>
      </c>
      <c r="N31" s="8">
        <v>0</v>
      </c>
      <c r="O31" s="8">
        <v>1</v>
      </c>
      <c r="P31" s="1" t="str">
        <f t="shared" si="0"/>
        <v>High</v>
      </c>
      <c r="Q31" s="1" t="str">
        <f t="shared" si="1"/>
        <v>Trump 2.0</v>
      </c>
    </row>
    <row r="32" spans="1:17">
      <c r="A32" s="8" t="s">
        <v>499</v>
      </c>
      <c r="B32" s="9">
        <v>45960</v>
      </c>
      <c r="C32" s="8">
        <v>2025</v>
      </c>
      <c r="D32" s="8">
        <v>10</v>
      </c>
      <c r="E32" s="8" t="s">
        <v>121</v>
      </c>
      <c r="F32" s="8" t="s">
        <v>500</v>
      </c>
      <c r="G32" s="8" t="s">
        <v>501</v>
      </c>
      <c r="H32" s="8">
        <v>6</v>
      </c>
      <c r="I32" s="8" t="s">
        <v>502</v>
      </c>
      <c r="J32" s="8">
        <v>1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1" t="str">
        <f t="shared" si="0"/>
        <v>Medium</v>
      </c>
      <c r="Q32" s="1" t="str">
        <f t="shared" si="1"/>
        <v>Trump 2.0</v>
      </c>
    </row>
    <row r="33" spans="1:17">
      <c r="A33" s="8" t="s">
        <v>503</v>
      </c>
      <c r="B33" s="9">
        <v>46037</v>
      </c>
      <c r="C33" s="8">
        <v>2026</v>
      </c>
      <c r="D33" s="8">
        <v>1</v>
      </c>
      <c r="E33" s="8" t="s">
        <v>121</v>
      </c>
      <c r="F33" s="8" t="s">
        <v>504</v>
      </c>
      <c r="G33" s="8" t="s">
        <v>505</v>
      </c>
      <c r="H33" s="8">
        <v>7</v>
      </c>
      <c r="I33" s="8" t="s">
        <v>506</v>
      </c>
      <c r="J33" s="8">
        <v>1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1" t="str">
        <f t="shared" si="0"/>
        <v>High</v>
      </c>
      <c r="Q33" s="1" t="str">
        <f t="shared" si="1"/>
        <v>Trump 2.0</v>
      </c>
    </row>
    <row r="34" spans="1:17">
      <c r="A34" s="8" t="s">
        <v>507</v>
      </c>
      <c r="B34" s="9">
        <v>46127</v>
      </c>
      <c r="C34" s="8">
        <v>2026</v>
      </c>
      <c r="D34" s="8">
        <v>4</v>
      </c>
      <c r="E34" s="8" t="s">
        <v>121</v>
      </c>
      <c r="F34" s="8" t="s">
        <v>508</v>
      </c>
      <c r="G34" s="8" t="s">
        <v>509</v>
      </c>
      <c r="H34" s="8">
        <v>9</v>
      </c>
      <c r="I34" s="8" t="s">
        <v>510</v>
      </c>
      <c r="J34" s="8">
        <v>1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1" t="str">
        <f t="shared" si="0"/>
        <v>Critical</v>
      </c>
      <c r="Q34" s="1" t="str">
        <f t="shared" si="1"/>
        <v>Trump 2.0</v>
      </c>
    </row>
    <row r="35" spans="1:17">
      <c r="A35" s="8" t="s">
        <v>511</v>
      </c>
      <c r="B35" s="9">
        <v>46142</v>
      </c>
      <c r="C35" s="8">
        <v>2026</v>
      </c>
      <c r="D35" s="8">
        <v>4</v>
      </c>
      <c r="E35" s="8" t="s">
        <v>125</v>
      </c>
      <c r="F35" s="8" t="s">
        <v>512</v>
      </c>
      <c r="G35" s="8" t="s">
        <v>513</v>
      </c>
      <c r="H35" s="8">
        <v>8</v>
      </c>
      <c r="I35" s="8" t="s">
        <v>514</v>
      </c>
      <c r="J35" s="8">
        <v>0</v>
      </c>
      <c r="K35" s="8">
        <v>1</v>
      </c>
      <c r="L35" s="8">
        <v>0</v>
      </c>
      <c r="M35" s="8">
        <v>0</v>
      </c>
      <c r="N35" s="8">
        <v>0</v>
      </c>
      <c r="O35" s="8">
        <v>1</v>
      </c>
      <c r="P35" s="1" t="str">
        <f t="shared" si="0"/>
        <v>High</v>
      </c>
      <c r="Q35" s="1" t="str">
        <f t="shared" si="1"/>
        <v>Trump 2.0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14"/>
  <sheetViews>
    <sheetView workbookViewId="0">
      <selection activeCell="D12" sqref="D12"/>
    </sheetView>
  </sheetViews>
  <sheetFormatPr defaultColWidth="8.88671875" defaultRowHeight="14.4"/>
  <cols>
    <col min="1" max="2" width="8.88671875" style="1"/>
    <col min="3" max="3" width="13.21875" style="1" customWidth="1"/>
    <col min="4" max="4" width="21.5546875" style="1" customWidth="1"/>
    <col min="5" max="5" width="14.5546875" style="1" customWidth="1"/>
    <col min="6" max="6" width="23.33203125" style="1" customWidth="1"/>
    <col min="7" max="7" width="15.33203125" style="1" customWidth="1"/>
    <col min="8" max="8" width="18.6640625" style="1" customWidth="1"/>
    <col min="9" max="9" width="11" style="1" customWidth="1"/>
  </cols>
  <sheetData>
    <row r="1" spans="1:9">
      <c r="A1" s="6" t="s">
        <v>15</v>
      </c>
      <c r="B1" s="6" t="s">
        <v>515</v>
      </c>
      <c r="C1" s="6" t="s">
        <v>101</v>
      </c>
      <c r="D1" s="6" t="s">
        <v>516</v>
      </c>
      <c r="E1" s="6" t="s">
        <v>517</v>
      </c>
      <c r="F1" s="6" t="s">
        <v>518</v>
      </c>
      <c r="G1" s="6" t="s">
        <v>519</v>
      </c>
      <c r="H1" s="7" t="s">
        <v>520</v>
      </c>
      <c r="I1" s="7" t="s">
        <v>521</v>
      </c>
    </row>
    <row r="2" spans="1:9">
      <c r="A2" s="8">
        <v>2022</v>
      </c>
      <c r="B2" s="8" t="s">
        <v>112</v>
      </c>
      <c r="C2" s="8" t="s">
        <v>114</v>
      </c>
      <c r="D2" s="8">
        <v>3</v>
      </c>
      <c r="E2" s="8" t="s">
        <v>522</v>
      </c>
      <c r="F2" s="8">
        <v>0</v>
      </c>
      <c r="G2" s="8">
        <v>2022</v>
      </c>
      <c r="H2" s="1" t="str">
        <f>IF(D2&lt;=5,"Leading Edge (3-5nm)",IF(D2&lt;=16,"Advanced (7-16nm)",IF(D2&lt;=28,"Mature (22-28nm)","Legacy (40nm+)")))</f>
        <v>Leading Edge (3-5nm)</v>
      </c>
      <c r="I2" s="1" t="str">
        <f>IF(C2="TWN","Taiwan",IF(C2="KOR","South Korea",IF(C2="USA","USA",IF(C2="CHN","China",IF(C2="JPN","Japan",IF(C2="DEU","Europe",IF(C2="NLD","Europe",IF(C2="ITA","Europe",IF(C2="ISR","Middle East","Other")))))))))</f>
        <v>Taiwan</v>
      </c>
    </row>
    <row r="3" spans="1:9">
      <c r="A3" s="8">
        <v>2023</v>
      </c>
      <c r="B3" s="8" t="s">
        <v>112</v>
      </c>
      <c r="C3" s="8" t="s">
        <v>114</v>
      </c>
      <c r="D3" s="8">
        <v>3</v>
      </c>
      <c r="E3" s="8" t="s">
        <v>522</v>
      </c>
      <c r="F3" s="8">
        <v>38445</v>
      </c>
      <c r="G3" s="8">
        <v>2022</v>
      </c>
      <c r="H3" s="1" t="str">
        <f t="shared" ref="H3:H66" si="0">IF(D3&lt;=5,"Leading Edge (3-5nm)",IF(D3&lt;=16,"Advanced (7-16nm)",IF(D3&lt;=28,"Mature (22-28nm)","Legacy (40nm+)")))</f>
        <v>Leading Edge (3-5nm)</v>
      </c>
      <c r="I3" s="1" t="str">
        <f t="shared" ref="I3:I66" si="1">IF(C3="TWN","Taiwan",IF(C3="KOR","South Korea",IF(C3="USA","USA",IF(C3="CHN","China",IF(C3="JPN","Japan",IF(C3="DEU","Europe",IF(C3="NLD","Europe",IF(C3="ITA","Europe",IF(C3="ISR","Middle East","Other")))))))))</f>
        <v>Taiwan</v>
      </c>
    </row>
    <row r="4" spans="1:9">
      <c r="A4" s="8">
        <v>2024</v>
      </c>
      <c r="B4" s="8" t="s">
        <v>112</v>
      </c>
      <c r="C4" s="8" t="s">
        <v>114</v>
      </c>
      <c r="D4" s="8">
        <v>3</v>
      </c>
      <c r="E4" s="8" t="s">
        <v>522</v>
      </c>
      <c r="F4" s="8">
        <v>80106</v>
      </c>
      <c r="G4" s="8">
        <v>2022</v>
      </c>
      <c r="H4" s="1" t="str">
        <f t="shared" si="0"/>
        <v>Leading Edge (3-5nm)</v>
      </c>
      <c r="I4" s="1" t="str">
        <f t="shared" si="1"/>
        <v>Taiwan</v>
      </c>
    </row>
    <row r="5" spans="1:9">
      <c r="A5" s="8">
        <v>2025</v>
      </c>
      <c r="B5" s="8" t="s">
        <v>112</v>
      </c>
      <c r="C5" s="8" t="s">
        <v>114</v>
      </c>
      <c r="D5" s="8">
        <v>3</v>
      </c>
      <c r="E5" s="8" t="s">
        <v>522</v>
      </c>
      <c r="F5" s="8">
        <v>129646</v>
      </c>
      <c r="G5" s="8">
        <v>2022</v>
      </c>
      <c r="H5" s="1" t="str">
        <f t="shared" si="0"/>
        <v>Leading Edge (3-5nm)</v>
      </c>
      <c r="I5" s="1" t="str">
        <f t="shared" si="1"/>
        <v>Taiwan</v>
      </c>
    </row>
    <row r="6" spans="1:9">
      <c r="A6" s="8">
        <v>2026</v>
      </c>
      <c r="B6" s="8" t="s">
        <v>112</v>
      </c>
      <c r="C6" s="8" t="s">
        <v>114</v>
      </c>
      <c r="D6" s="8">
        <v>3</v>
      </c>
      <c r="E6" s="8" t="s">
        <v>522</v>
      </c>
      <c r="F6" s="8">
        <v>136143</v>
      </c>
      <c r="G6" s="8">
        <v>2022</v>
      </c>
      <c r="H6" s="1" t="str">
        <f t="shared" si="0"/>
        <v>Leading Edge (3-5nm)</v>
      </c>
      <c r="I6" s="1" t="str">
        <f t="shared" si="1"/>
        <v>Taiwan</v>
      </c>
    </row>
    <row r="7" spans="1:9">
      <c r="A7" s="8">
        <v>2020</v>
      </c>
      <c r="B7" s="8" t="s">
        <v>112</v>
      </c>
      <c r="C7" s="8" t="s">
        <v>114</v>
      </c>
      <c r="D7" s="8">
        <v>5</v>
      </c>
      <c r="E7" s="8" t="s">
        <v>522</v>
      </c>
      <c r="F7" s="8">
        <v>0</v>
      </c>
      <c r="G7" s="8">
        <v>2020</v>
      </c>
      <c r="H7" s="1" t="str">
        <f t="shared" si="0"/>
        <v>Leading Edge (3-5nm)</v>
      </c>
      <c r="I7" s="1" t="str">
        <f t="shared" si="1"/>
        <v>Taiwan</v>
      </c>
    </row>
    <row r="8" spans="1:9">
      <c r="A8" s="8">
        <v>2021</v>
      </c>
      <c r="B8" s="8" t="s">
        <v>112</v>
      </c>
      <c r="C8" s="8" t="s">
        <v>114</v>
      </c>
      <c r="D8" s="8">
        <v>5</v>
      </c>
      <c r="E8" s="8" t="s">
        <v>522</v>
      </c>
      <c r="F8" s="8">
        <v>53296</v>
      </c>
      <c r="G8" s="8">
        <v>2020</v>
      </c>
      <c r="H8" s="1" t="str">
        <f t="shared" si="0"/>
        <v>Leading Edge (3-5nm)</v>
      </c>
      <c r="I8" s="1" t="str">
        <f t="shared" si="1"/>
        <v>Taiwan</v>
      </c>
    </row>
    <row r="9" spans="1:9">
      <c r="A9" s="8">
        <v>2022</v>
      </c>
      <c r="B9" s="8" t="s">
        <v>112</v>
      </c>
      <c r="C9" s="8" t="s">
        <v>114</v>
      </c>
      <c r="D9" s="8">
        <v>5</v>
      </c>
      <c r="E9" s="8" t="s">
        <v>522</v>
      </c>
      <c r="F9" s="8">
        <v>95116</v>
      </c>
      <c r="G9" s="8">
        <v>2020</v>
      </c>
      <c r="H9" s="1" t="str">
        <f t="shared" si="0"/>
        <v>Leading Edge (3-5nm)</v>
      </c>
      <c r="I9" s="1" t="str">
        <f t="shared" si="1"/>
        <v>Taiwan</v>
      </c>
    </row>
    <row r="10" spans="1:9">
      <c r="A10" s="8">
        <v>2023</v>
      </c>
      <c r="B10" s="8" t="s">
        <v>112</v>
      </c>
      <c r="C10" s="8" t="s">
        <v>114</v>
      </c>
      <c r="D10" s="8">
        <v>5</v>
      </c>
      <c r="E10" s="8" t="s">
        <v>522</v>
      </c>
      <c r="F10" s="8">
        <v>163173</v>
      </c>
      <c r="G10" s="8">
        <v>2020</v>
      </c>
      <c r="H10" s="1" t="str">
        <f t="shared" si="0"/>
        <v>Leading Edge (3-5nm)</v>
      </c>
      <c r="I10" s="1" t="str">
        <f t="shared" si="1"/>
        <v>Taiwan</v>
      </c>
    </row>
    <row r="11" spans="1:9">
      <c r="A11" s="8">
        <v>2024</v>
      </c>
      <c r="B11" s="8" t="s">
        <v>112</v>
      </c>
      <c r="C11" s="8" t="s">
        <v>114</v>
      </c>
      <c r="D11" s="8">
        <v>5</v>
      </c>
      <c r="E11" s="8" t="s">
        <v>522</v>
      </c>
      <c r="F11" s="8">
        <v>146070</v>
      </c>
      <c r="G11" s="8">
        <v>2020</v>
      </c>
      <c r="H11" s="1" t="str">
        <f t="shared" si="0"/>
        <v>Leading Edge (3-5nm)</v>
      </c>
      <c r="I11" s="1" t="str">
        <f t="shared" si="1"/>
        <v>Taiwan</v>
      </c>
    </row>
    <row r="12" spans="1:9">
      <c r="A12" s="8">
        <v>2025</v>
      </c>
      <c r="B12" s="8" t="s">
        <v>112</v>
      </c>
      <c r="C12" s="8" t="s">
        <v>114</v>
      </c>
      <c r="D12" s="8">
        <v>5</v>
      </c>
      <c r="E12" s="8" t="s">
        <v>522</v>
      </c>
      <c r="F12" s="8">
        <v>165947</v>
      </c>
      <c r="G12" s="8">
        <v>2020</v>
      </c>
      <c r="H12" s="1" t="str">
        <f t="shared" si="0"/>
        <v>Leading Edge (3-5nm)</v>
      </c>
      <c r="I12" s="1" t="str">
        <f t="shared" si="1"/>
        <v>Taiwan</v>
      </c>
    </row>
    <row r="13" spans="1:9">
      <c r="A13" s="8">
        <v>2026</v>
      </c>
      <c r="B13" s="8" t="s">
        <v>112</v>
      </c>
      <c r="C13" s="8" t="s">
        <v>114</v>
      </c>
      <c r="D13" s="8">
        <v>5</v>
      </c>
      <c r="E13" s="8" t="s">
        <v>522</v>
      </c>
      <c r="F13" s="8">
        <v>165561</v>
      </c>
      <c r="G13" s="8">
        <v>2020</v>
      </c>
      <c r="H13" s="1" t="str">
        <f t="shared" si="0"/>
        <v>Leading Edge (3-5nm)</v>
      </c>
      <c r="I13" s="1" t="str">
        <f t="shared" si="1"/>
        <v>Taiwan</v>
      </c>
    </row>
    <row r="14" spans="1:9">
      <c r="A14" s="8">
        <v>2018</v>
      </c>
      <c r="B14" s="8" t="s">
        <v>112</v>
      </c>
      <c r="C14" s="8" t="s">
        <v>114</v>
      </c>
      <c r="D14" s="8">
        <v>7</v>
      </c>
      <c r="E14" s="8" t="s">
        <v>522</v>
      </c>
      <c r="F14" s="8">
        <v>0</v>
      </c>
      <c r="G14" s="8">
        <v>2018</v>
      </c>
      <c r="H14" s="1" t="str">
        <f t="shared" si="0"/>
        <v>Advanced (7-16nm)</v>
      </c>
      <c r="I14" s="1" t="str">
        <f t="shared" si="1"/>
        <v>Taiwan</v>
      </c>
    </row>
    <row r="15" spans="1:9">
      <c r="A15" s="8">
        <v>2019</v>
      </c>
      <c r="B15" s="8" t="s">
        <v>112</v>
      </c>
      <c r="C15" s="8" t="s">
        <v>114</v>
      </c>
      <c r="D15" s="8">
        <v>7</v>
      </c>
      <c r="E15" s="8" t="s">
        <v>522</v>
      </c>
      <c r="F15" s="8">
        <v>42633</v>
      </c>
      <c r="G15" s="8">
        <v>2018</v>
      </c>
      <c r="H15" s="1" t="str">
        <f t="shared" si="0"/>
        <v>Advanced (7-16nm)</v>
      </c>
      <c r="I15" s="1" t="str">
        <f t="shared" si="1"/>
        <v>Taiwan</v>
      </c>
    </row>
    <row r="16" spans="1:9">
      <c r="A16" s="8">
        <v>2020</v>
      </c>
      <c r="B16" s="8" t="s">
        <v>112</v>
      </c>
      <c r="C16" s="8" t="s">
        <v>114</v>
      </c>
      <c r="D16" s="8">
        <v>7</v>
      </c>
      <c r="E16" s="8" t="s">
        <v>522</v>
      </c>
      <c r="F16" s="8">
        <v>92536</v>
      </c>
      <c r="G16" s="8">
        <v>2018</v>
      </c>
      <c r="H16" s="1" t="str">
        <f t="shared" si="0"/>
        <v>Advanced (7-16nm)</v>
      </c>
      <c r="I16" s="1" t="str">
        <f t="shared" si="1"/>
        <v>Taiwan</v>
      </c>
    </row>
    <row r="17" spans="1:9">
      <c r="A17" s="8">
        <v>2021</v>
      </c>
      <c r="B17" s="8" t="s">
        <v>112</v>
      </c>
      <c r="C17" s="8" t="s">
        <v>114</v>
      </c>
      <c r="D17" s="8">
        <v>7</v>
      </c>
      <c r="E17" s="8" t="s">
        <v>522</v>
      </c>
      <c r="F17" s="8">
        <v>129499</v>
      </c>
      <c r="G17" s="8">
        <v>2018</v>
      </c>
      <c r="H17" s="1" t="str">
        <f t="shared" si="0"/>
        <v>Advanced (7-16nm)</v>
      </c>
      <c r="I17" s="1" t="str">
        <f t="shared" si="1"/>
        <v>Taiwan</v>
      </c>
    </row>
    <row r="18" spans="1:9">
      <c r="A18" s="8">
        <v>2022</v>
      </c>
      <c r="B18" s="8" t="s">
        <v>112</v>
      </c>
      <c r="C18" s="8" t="s">
        <v>114</v>
      </c>
      <c r="D18" s="8">
        <v>7</v>
      </c>
      <c r="E18" s="8" t="s">
        <v>522</v>
      </c>
      <c r="F18" s="8">
        <v>146937</v>
      </c>
      <c r="G18" s="8">
        <v>2018</v>
      </c>
      <c r="H18" s="1" t="str">
        <f t="shared" si="0"/>
        <v>Advanced (7-16nm)</v>
      </c>
      <c r="I18" s="1" t="str">
        <f t="shared" si="1"/>
        <v>Taiwan</v>
      </c>
    </row>
    <row r="19" spans="1:9">
      <c r="A19" s="8">
        <v>2023</v>
      </c>
      <c r="B19" s="8" t="s">
        <v>112</v>
      </c>
      <c r="C19" s="8" t="s">
        <v>114</v>
      </c>
      <c r="D19" s="8">
        <v>7</v>
      </c>
      <c r="E19" s="8" t="s">
        <v>522</v>
      </c>
      <c r="F19" s="8">
        <v>151030</v>
      </c>
      <c r="G19" s="8">
        <v>2018</v>
      </c>
      <c r="H19" s="1" t="str">
        <f t="shared" si="0"/>
        <v>Advanced (7-16nm)</v>
      </c>
      <c r="I19" s="1" t="str">
        <f t="shared" si="1"/>
        <v>Taiwan</v>
      </c>
    </row>
    <row r="20" spans="1:9">
      <c r="A20" s="8">
        <v>2024</v>
      </c>
      <c r="B20" s="8" t="s">
        <v>112</v>
      </c>
      <c r="C20" s="8" t="s">
        <v>114</v>
      </c>
      <c r="D20" s="8">
        <v>7</v>
      </c>
      <c r="E20" s="8" t="s">
        <v>522</v>
      </c>
      <c r="F20" s="8">
        <v>134531</v>
      </c>
      <c r="G20" s="8">
        <v>2018</v>
      </c>
      <c r="H20" s="1" t="str">
        <f t="shared" si="0"/>
        <v>Advanced (7-16nm)</v>
      </c>
      <c r="I20" s="1" t="str">
        <f t="shared" si="1"/>
        <v>Taiwan</v>
      </c>
    </row>
    <row r="21" spans="1:9">
      <c r="A21" s="8">
        <v>2025</v>
      </c>
      <c r="B21" s="8" t="s">
        <v>112</v>
      </c>
      <c r="C21" s="8" t="s">
        <v>114</v>
      </c>
      <c r="D21" s="8">
        <v>7</v>
      </c>
      <c r="E21" s="8" t="s">
        <v>522</v>
      </c>
      <c r="F21" s="8">
        <v>149236</v>
      </c>
      <c r="G21" s="8">
        <v>2018</v>
      </c>
      <c r="H21" s="1" t="str">
        <f t="shared" si="0"/>
        <v>Advanced (7-16nm)</v>
      </c>
      <c r="I21" s="1" t="str">
        <f t="shared" si="1"/>
        <v>Taiwan</v>
      </c>
    </row>
    <row r="22" spans="1:9">
      <c r="A22" s="8">
        <v>2026</v>
      </c>
      <c r="B22" s="8" t="s">
        <v>112</v>
      </c>
      <c r="C22" s="8" t="s">
        <v>114</v>
      </c>
      <c r="D22" s="8">
        <v>7</v>
      </c>
      <c r="E22" s="8" t="s">
        <v>522</v>
      </c>
      <c r="F22" s="8">
        <v>148514</v>
      </c>
      <c r="G22" s="8">
        <v>2018</v>
      </c>
      <c r="H22" s="1" t="str">
        <f t="shared" si="0"/>
        <v>Advanced (7-16nm)</v>
      </c>
      <c r="I22" s="1" t="str">
        <f t="shared" si="1"/>
        <v>Taiwan</v>
      </c>
    </row>
    <row r="23" spans="1:9">
      <c r="A23" s="8">
        <v>2015</v>
      </c>
      <c r="B23" s="8" t="s">
        <v>112</v>
      </c>
      <c r="C23" s="8" t="s">
        <v>114</v>
      </c>
      <c r="D23" s="8">
        <v>16</v>
      </c>
      <c r="E23" s="8" t="s">
        <v>523</v>
      </c>
      <c r="F23" s="8">
        <v>0</v>
      </c>
      <c r="G23" s="8">
        <v>2015</v>
      </c>
      <c r="H23" s="1" t="str">
        <f t="shared" si="0"/>
        <v>Advanced (7-16nm)</v>
      </c>
      <c r="I23" s="1" t="str">
        <f t="shared" si="1"/>
        <v>Taiwan</v>
      </c>
    </row>
    <row r="24" spans="1:9">
      <c r="A24" s="8">
        <v>2016</v>
      </c>
      <c r="B24" s="8" t="s">
        <v>112</v>
      </c>
      <c r="C24" s="8" t="s">
        <v>114</v>
      </c>
      <c r="D24" s="8">
        <v>16</v>
      </c>
      <c r="E24" s="8" t="s">
        <v>523</v>
      </c>
      <c r="F24" s="8">
        <v>62369</v>
      </c>
      <c r="G24" s="8">
        <v>2015</v>
      </c>
      <c r="H24" s="1" t="str">
        <f t="shared" si="0"/>
        <v>Advanced (7-16nm)</v>
      </c>
      <c r="I24" s="1" t="str">
        <f t="shared" si="1"/>
        <v>Taiwan</v>
      </c>
    </row>
    <row r="25" spans="1:9">
      <c r="A25" s="8">
        <v>2017</v>
      </c>
      <c r="B25" s="8" t="s">
        <v>112</v>
      </c>
      <c r="C25" s="8" t="s">
        <v>114</v>
      </c>
      <c r="D25" s="8">
        <v>16</v>
      </c>
      <c r="E25" s="8" t="s">
        <v>523</v>
      </c>
      <c r="F25" s="8">
        <v>119768</v>
      </c>
      <c r="G25" s="8">
        <v>2015</v>
      </c>
      <c r="H25" s="1" t="str">
        <f t="shared" si="0"/>
        <v>Advanced (7-16nm)</v>
      </c>
      <c r="I25" s="1" t="str">
        <f t="shared" si="1"/>
        <v>Taiwan</v>
      </c>
    </row>
    <row r="26" spans="1:9">
      <c r="A26" s="8">
        <v>2018</v>
      </c>
      <c r="B26" s="8" t="s">
        <v>112</v>
      </c>
      <c r="C26" s="8" t="s">
        <v>114</v>
      </c>
      <c r="D26" s="8">
        <v>16</v>
      </c>
      <c r="E26" s="8" t="s">
        <v>523</v>
      </c>
      <c r="F26" s="8">
        <v>196357</v>
      </c>
      <c r="G26" s="8">
        <v>2015</v>
      </c>
      <c r="H26" s="1" t="str">
        <f t="shared" si="0"/>
        <v>Advanced (7-16nm)</v>
      </c>
      <c r="I26" s="1" t="str">
        <f t="shared" si="1"/>
        <v>Taiwan</v>
      </c>
    </row>
    <row r="27" spans="1:9">
      <c r="A27" s="8">
        <v>2019</v>
      </c>
      <c r="B27" s="8" t="s">
        <v>112</v>
      </c>
      <c r="C27" s="8" t="s">
        <v>114</v>
      </c>
      <c r="D27" s="8">
        <v>16</v>
      </c>
      <c r="E27" s="8" t="s">
        <v>523</v>
      </c>
      <c r="F27" s="8">
        <v>175711</v>
      </c>
      <c r="G27" s="8">
        <v>2015</v>
      </c>
      <c r="H27" s="1" t="str">
        <f t="shared" si="0"/>
        <v>Advanced (7-16nm)</v>
      </c>
      <c r="I27" s="1" t="str">
        <f t="shared" si="1"/>
        <v>Taiwan</v>
      </c>
    </row>
    <row r="28" spans="1:9">
      <c r="A28" s="8">
        <v>2020</v>
      </c>
      <c r="B28" s="8" t="s">
        <v>112</v>
      </c>
      <c r="C28" s="8" t="s">
        <v>114</v>
      </c>
      <c r="D28" s="8">
        <v>16</v>
      </c>
      <c r="E28" s="8" t="s">
        <v>523</v>
      </c>
      <c r="F28" s="8">
        <v>189222</v>
      </c>
      <c r="G28" s="8">
        <v>2015</v>
      </c>
      <c r="H28" s="1" t="str">
        <f t="shared" si="0"/>
        <v>Advanced (7-16nm)</v>
      </c>
      <c r="I28" s="1" t="str">
        <f t="shared" si="1"/>
        <v>Taiwan</v>
      </c>
    </row>
    <row r="29" spans="1:9">
      <c r="A29" s="8">
        <v>2021</v>
      </c>
      <c r="B29" s="8" t="s">
        <v>112</v>
      </c>
      <c r="C29" s="8" t="s">
        <v>114</v>
      </c>
      <c r="D29" s="8">
        <v>16</v>
      </c>
      <c r="E29" s="8" t="s">
        <v>523</v>
      </c>
      <c r="F29" s="8">
        <v>180878</v>
      </c>
      <c r="G29" s="8">
        <v>2015</v>
      </c>
      <c r="H29" s="1" t="str">
        <f t="shared" si="0"/>
        <v>Advanced (7-16nm)</v>
      </c>
      <c r="I29" s="1" t="str">
        <f t="shared" si="1"/>
        <v>Taiwan</v>
      </c>
    </row>
    <row r="30" spans="1:9">
      <c r="A30" s="8">
        <v>2022</v>
      </c>
      <c r="B30" s="8" t="s">
        <v>112</v>
      </c>
      <c r="C30" s="8" t="s">
        <v>114</v>
      </c>
      <c r="D30" s="8">
        <v>16</v>
      </c>
      <c r="E30" s="8" t="s">
        <v>523</v>
      </c>
      <c r="F30" s="8">
        <v>187306</v>
      </c>
      <c r="G30" s="8">
        <v>2015</v>
      </c>
      <c r="H30" s="1" t="str">
        <f t="shared" si="0"/>
        <v>Advanced (7-16nm)</v>
      </c>
      <c r="I30" s="1" t="str">
        <f t="shared" si="1"/>
        <v>Taiwan</v>
      </c>
    </row>
    <row r="31" spans="1:9">
      <c r="A31" s="8">
        <v>2023</v>
      </c>
      <c r="B31" s="8" t="s">
        <v>112</v>
      </c>
      <c r="C31" s="8" t="s">
        <v>114</v>
      </c>
      <c r="D31" s="8">
        <v>16</v>
      </c>
      <c r="E31" s="8" t="s">
        <v>523</v>
      </c>
      <c r="F31" s="8">
        <v>176020</v>
      </c>
      <c r="G31" s="8">
        <v>2015</v>
      </c>
      <c r="H31" s="1" t="str">
        <f t="shared" si="0"/>
        <v>Advanced (7-16nm)</v>
      </c>
      <c r="I31" s="1" t="str">
        <f t="shared" si="1"/>
        <v>Taiwan</v>
      </c>
    </row>
    <row r="32" spans="1:9">
      <c r="A32" s="8">
        <v>2024</v>
      </c>
      <c r="B32" s="8" t="s">
        <v>112</v>
      </c>
      <c r="C32" s="8" t="s">
        <v>114</v>
      </c>
      <c r="D32" s="8">
        <v>16</v>
      </c>
      <c r="E32" s="8" t="s">
        <v>523</v>
      </c>
      <c r="F32" s="8">
        <v>179554</v>
      </c>
      <c r="G32" s="8">
        <v>2015</v>
      </c>
      <c r="H32" s="1" t="str">
        <f t="shared" si="0"/>
        <v>Advanced (7-16nm)</v>
      </c>
      <c r="I32" s="1" t="str">
        <f t="shared" si="1"/>
        <v>Taiwan</v>
      </c>
    </row>
    <row r="33" spans="1:9">
      <c r="A33" s="8">
        <v>2025</v>
      </c>
      <c r="B33" s="8" t="s">
        <v>112</v>
      </c>
      <c r="C33" s="8" t="s">
        <v>114</v>
      </c>
      <c r="D33" s="8">
        <v>16</v>
      </c>
      <c r="E33" s="8" t="s">
        <v>523</v>
      </c>
      <c r="F33" s="8">
        <v>187911</v>
      </c>
      <c r="G33" s="8">
        <v>2015</v>
      </c>
      <c r="H33" s="1" t="str">
        <f t="shared" si="0"/>
        <v>Advanced (7-16nm)</v>
      </c>
      <c r="I33" s="1" t="str">
        <f t="shared" si="1"/>
        <v>Taiwan</v>
      </c>
    </row>
    <row r="34" spans="1:9">
      <c r="A34" s="8">
        <v>2026</v>
      </c>
      <c r="B34" s="8" t="s">
        <v>112</v>
      </c>
      <c r="C34" s="8" t="s">
        <v>114</v>
      </c>
      <c r="D34" s="8">
        <v>16</v>
      </c>
      <c r="E34" s="8" t="s">
        <v>523</v>
      </c>
      <c r="F34" s="8">
        <v>189893</v>
      </c>
      <c r="G34" s="8">
        <v>2015</v>
      </c>
      <c r="H34" s="1" t="str">
        <f t="shared" si="0"/>
        <v>Advanced (7-16nm)</v>
      </c>
      <c r="I34" s="1" t="str">
        <f t="shared" si="1"/>
        <v>Taiwan</v>
      </c>
    </row>
    <row r="35" spans="1:9">
      <c r="A35" s="8">
        <v>2011</v>
      </c>
      <c r="B35" s="8" t="s">
        <v>112</v>
      </c>
      <c r="C35" s="8" t="s">
        <v>114</v>
      </c>
      <c r="D35" s="8">
        <v>28</v>
      </c>
      <c r="E35" s="8" t="s">
        <v>523</v>
      </c>
      <c r="F35" s="8">
        <v>0</v>
      </c>
      <c r="G35" s="8">
        <v>2011</v>
      </c>
      <c r="H35" s="1" t="str">
        <f t="shared" si="0"/>
        <v>Mature (22-28nm)</v>
      </c>
      <c r="I35" s="1" t="str">
        <f t="shared" si="1"/>
        <v>Taiwan</v>
      </c>
    </row>
    <row r="36" spans="1:9">
      <c r="A36" s="8">
        <v>2012</v>
      </c>
      <c r="B36" s="8" t="s">
        <v>112</v>
      </c>
      <c r="C36" s="8" t="s">
        <v>114</v>
      </c>
      <c r="D36" s="8">
        <v>28</v>
      </c>
      <c r="E36" s="8" t="s">
        <v>523</v>
      </c>
      <c r="F36" s="8">
        <v>68869</v>
      </c>
      <c r="G36" s="8">
        <v>2011</v>
      </c>
      <c r="H36" s="1" t="str">
        <f t="shared" si="0"/>
        <v>Mature (22-28nm)</v>
      </c>
      <c r="I36" s="1" t="str">
        <f t="shared" si="1"/>
        <v>Taiwan</v>
      </c>
    </row>
    <row r="37" spans="1:9">
      <c r="A37" s="8">
        <v>2013</v>
      </c>
      <c r="B37" s="8" t="s">
        <v>112</v>
      </c>
      <c r="C37" s="8" t="s">
        <v>114</v>
      </c>
      <c r="D37" s="8">
        <v>28</v>
      </c>
      <c r="E37" s="8" t="s">
        <v>523</v>
      </c>
      <c r="F37" s="8">
        <v>137349</v>
      </c>
      <c r="G37" s="8">
        <v>2011</v>
      </c>
      <c r="H37" s="1" t="str">
        <f t="shared" si="0"/>
        <v>Mature (22-28nm)</v>
      </c>
      <c r="I37" s="1" t="str">
        <f t="shared" si="1"/>
        <v>Taiwan</v>
      </c>
    </row>
    <row r="38" spans="1:9">
      <c r="A38" s="8">
        <v>2014</v>
      </c>
      <c r="B38" s="8" t="s">
        <v>112</v>
      </c>
      <c r="C38" s="8" t="s">
        <v>114</v>
      </c>
      <c r="D38" s="8">
        <v>28</v>
      </c>
      <c r="E38" s="8" t="s">
        <v>523</v>
      </c>
      <c r="F38" s="8">
        <v>215975</v>
      </c>
      <c r="G38" s="8">
        <v>2011</v>
      </c>
      <c r="H38" s="1" t="str">
        <f t="shared" si="0"/>
        <v>Mature (22-28nm)</v>
      </c>
      <c r="I38" s="1" t="str">
        <f t="shared" si="1"/>
        <v>Taiwan</v>
      </c>
    </row>
    <row r="39" spans="1:9">
      <c r="A39" s="8">
        <v>2015</v>
      </c>
      <c r="B39" s="8" t="s">
        <v>112</v>
      </c>
      <c r="C39" s="8" t="s">
        <v>114</v>
      </c>
      <c r="D39" s="8">
        <v>28</v>
      </c>
      <c r="E39" s="8" t="s">
        <v>523</v>
      </c>
      <c r="F39" s="8">
        <v>215031</v>
      </c>
      <c r="G39" s="8">
        <v>2011</v>
      </c>
      <c r="H39" s="1" t="str">
        <f t="shared" si="0"/>
        <v>Mature (22-28nm)</v>
      </c>
      <c r="I39" s="1" t="str">
        <f t="shared" si="1"/>
        <v>Taiwan</v>
      </c>
    </row>
    <row r="40" spans="1:9">
      <c r="A40" s="8">
        <v>2016</v>
      </c>
      <c r="B40" s="8" t="s">
        <v>112</v>
      </c>
      <c r="C40" s="8" t="s">
        <v>114</v>
      </c>
      <c r="D40" s="8">
        <v>28</v>
      </c>
      <c r="E40" s="8" t="s">
        <v>523</v>
      </c>
      <c r="F40" s="8">
        <v>196285</v>
      </c>
      <c r="G40" s="8">
        <v>2011</v>
      </c>
      <c r="H40" s="1" t="str">
        <f t="shared" si="0"/>
        <v>Mature (22-28nm)</v>
      </c>
      <c r="I40" s="1" t="str">
        <f t="shared" si="1"/>
        <v>Taiwan</v>
      </c>
    </row>
    <row r="41" spans="1:9">
      <c r="A41" s="8">
        <v>2017</v>
      </c>
      <c r="B41" s="8" t="s">
        <v>112</v>
      </c>
      <c r="C41" s="8" t="s">
        <v>114</v>
      </c>
      <c r="D41" s="8">
        <v>28</v>
      </c>
      <c r="E41" s="8" t="s">
        <v>523</v>
      </c>
      <c r="F41" s="8">
        <v>203765</v>
      </c>
      <c r="G41" s="8">
        <v>2011</v>
      </c>
      <c r="H41" s="1" t="str">
        <f t="shared" si="0"/>
        <v>Mature (22-28nm)</v>
      </c>
      <c r="I41" s="1" t="str">
        <f t="shared" si="1"/>
        <v>Taiwan</v>
      </c>
    </row>
    <row r="42" spans="1:9">
      <c r="A42" s="8">
        <v>2018</v>
      </c>
      <c r="B42" s="8" t="s">
        <v>112</v>
      </c>
      <c r="C42" s="8" t="s">
        <v>114</v>
      </c>
      <c r="D42" s="8">
        <v>28</v>
      </c>
      <c r="E42" s="8" t="s">
        <v>523</v>
      </c>
      <c r="F42" s="8">
        <v>193860</v>
      </c>
      <c r="G42" s="8">
        <v>2011</v>
      </c>
      <c r="H42" s="1" t="str">
        <f t="shared" si="0"/>
        <v>Mature (22-28nm)</v>
      </c>
      <c r="I42" s="1" t="str">
        <f t="shared" si="1"/>
        <v>Taiwan</v>
      </c>
    </row>
    <row r="43" spans="1:9">
      <c r="A43" s="8">
        <v>2019</v>
      </c>
      <c r="B43" s="8" t="s">
        <v>112</v>
      </c>
      <c r="C43" s="8" t="s">
        <v>114</v>
      </c>
      <c r="D43" s="8">
        <v>28</v>
      </c>
      <c r="E43" s="8" t="s">
        <v>523</v>
      </c>
      <c r="F43" s="8">
        <v>200233</v>
      </c>
      <c r="G43" s="8">
        <v>2011</v>
      </c>
      <c r="H43" s="1" t="str">
        <f t="shared" si="0"/>
        <v>Mature (22-28nm)</v>
      </c>
      <c r="I43" s="1" t="str">
        <f t="shared" si="1"/>
        <v>Taiwan</v>
      </c>
    </row>
    <row r="44" spans="1:9">
      <c r="A44" s="8">
        <v>2020</v>
      </c>
      <c r="B44" s="8" t="s">
        <v>112</v>
      </c>
      <c r="C44" s="8" t="s">
        <v>114</v>
      </c>
      <c r="D44" s="8">
        <v>28</v>
      </c>
      <c r="E44" s="8" t="s">
        <v>523</v>
      </c>
      <c r="F44" s="8">
        <v>194091</v>
      </c>
      <c r="G44" s="8">
        <v>2011</v>
      </c>
      <c r="H44" s="1" t="str">
        <f t="shared" si="0"/>
        <v>Mature (22-28nm)</v>
      </c>
      <c r="I44" s="1" t="str">
        <f t="shared" si="1"/>
        <v>Taiwan</v>
      </c>
    </row>
    <row r="45" spans="1:9">
      <c r="A45" s="8">
        <v>2021</v>
      </c>
      <c r="B45" s="8" t="s">
        <v>112</v>
      </c>
      <c r="C45" s="8" t="s">
        <v>114</v>
      </c>
      <c r="D45" s="8">
        <v>28</v>
      </c>
      <c r="E45" s="8" t="s">
        <v>523</v>
      </c>
      <c r="F45" s="8">
        <v>216874</v>
      </c>
      <c r="G45" s="8">
        <v>2011</v>
      </c>
      <c r="H45" s="1" t="str">
        <f t="shared" si="0"/>
        <v>Mature (22-28nm)</v>
      </c>
      <c r="I45" s="1" t="str">
        <f t="shared" si="1"/>
        <v>Taiwan</v>
      </c>
    </row>
    <row r="46" spans="1:9">
      <c r="A46" s="8">
        <v>2022</v>
      </c>
      <c r="B46" s="8" t="s">
        <v>112</v>
      </c>
      <c r="C46" s="8" t="s">
        <v>114</v>
      </c>
      <c r="D46" s="8">
        <v>28</v>
      </c>
      <c r="E46" s="8" t="s">
        <v>523</v>
      </c>
      <c r="F46" s="8">
        <v>203670</v>
      </c>
      <c r="G46" s="8">
        <v>2011</v>
      </c>
      <c r="H46" s="1" t="str">
        <f t="shared" si="0"/>
        <v>Mature (22-28nm)</v>
      </c>
      <c r="I46" s="1" t="str">
        <f t="shared" si="1"/>
        <v>Taiwan</v>
      </c>
    </row>
    <row r="47" spans="1:9">
      <c r="A47" s="8">
        <v>2023</v>
      </c>
      <c r="B47" s="8" t="s">
        <v>112</v>
      </c>
      <c r="C47" s="8" t="s">
        <v>114</v>
      </c>
      <c r="D47" s="8">
        <v>28</v>
      </c>
      <c r="E47" s="8" t="s">
        <v>523</v>
      </c>
      <c r="F47" s="8">
        <v>197831</v>
      </c>
      <c r="G47" s="8">
        <v>2011</v>
      </c>
      <c r="H47" s="1" t="str">
        <f t="shared" si="0"/>
        <v>Mature (22-28nm)</v>
      </c>
      <c r="I47" s="1" t="str">
        <f t="shared" si="1"/>
        <v>Taiwan</v>
      </c>
    </row>
    <row r="48" spans="1:9">
      <c r="A48" s="8">
        <v>2024</v>
      </c>
      <c r="B48" s="8" t="s">
        <v>112</v>
      </c>
      <c r="C48" s="8" t="s">
        <v>114</v>
      </c>
      <c r="D48" s="8">
        <v>28</v>
      </c>
      <c r="E48" s="8" t="s">
        <v>523</v>
      </c>
      <c r="F48" s="8">
        <v>212299</v>
      </c>
      <c r="G48" s="8">
        <v>2011</v>
      </c>
      <c r="H48" s="1" t="str">
        <f t="shared" si="0"/>
        <v>Mature (22-28nm)</v>
      </c>
      <c r="I48" s="1" t="str">
        <f t="shared" si="1"/>
        <v>Taiwan</v>
      </c>
    </row>
    <row r="49" spans="1:9">
      <c r="A49" s="8">
        <v>2025</v>
      </c>
      <c r="B49" s="8" t="s">
        <v>112</v>
      </c>
      <c r="C49" s="8" t="s">
        <v>114</v>
      </c>
      <c r="D49" s="8">
        <v>28</v>
      </c>
      <c r="E49" s="8" t="s">
        <v>523</v>
      </c>
      <c r="F49" s="8">
        <v>188401</v>
      </c>
      <c r="G49" s="8">
        <v>2011</v>
      </c>
      <c r="H49" s="1" t="str">
        <f t="shared" si="0"/>
        <v>Mature (22-28nm)</v>
      </c>
      <c r="I49" s="1" t="str">
        <f t="shared" si="1"/>
        <v>Taiwan</v>
      </c>
    </row>
    <row r="50" spans="1:9">
      <c r="A50" s="8">
        <v>2026</v>
      </c>
      <c r="B50" s="8" t="s">
        <v>112</v>
      </c>
      <c r="C50" s="8" t="s">
        <v>114</v>
      </c>
      <c r="D50" s="8">
        <v>28</v>
      </c>
      <c r="E50" s="8" t="s">
        <v>523</v>
      </c>
      <c r="F50" s="8">
        <v>198923</v>
      </c>
      <c r="G50" s="8">
        <v>2011</v>
      </c>
      <c r="H50" s="1" t="str">
        <f t="shared" si="0"/>
        <v>Mature (22-28nm)</v>
      </c>
      <c r="I50" s="1" t="str">
        <f t="shared" si="1"/>
        <v>Taiwan</v>
      </c>
    </row>
    <row r="51" spans="1:9">
      <c r="A51" s="8">
        <v>2024</v>
      </c>
      <c r="B51" s="8" t="s">
        <v>112</v>
      </c>
      <c r="C51" s="8" t="s">
        <v>121</v>
      </c>
      <c r="D51" s="8">
        <v>5</v>
      </c>
      <c r="E51" s="8" t="s">
        <v>522</v>
      </c>
      <c r="F51" s="8">
        <v>0</v>
      </c>
      <c r="G51" s="8">
        <v>2024</v>
      </c>
      <c r="H51" s="1" t="str">
        <f t="shared" si="0"/>
        <v>Leading Edge (3-5nm)</v>
      </c>
      <c r="I51" s="1" t="str">
        <f t="shared" si="1"/>
        <v>USA</v>
      </c>
    </row>
    <row r="52" spans="1:9">
      <c r="A52" s="8">
        <v>2025</v>
      </c>
      <c r="B52" s="8" t="s">
        <v>112</v>
      </c>
      <c r="C52" s="8" t="s">
        <v>121</v>
      </c>
      <c r="D52" s="8">
        <v>5</v>
      </c>
      <c r="E52" s="8" t="s">
        <v>522</v>
      </c>
      <c r="F52" s="8">
        <v>42127</v>
      </c>
      <c r="G52" s="8">
        <v>2024</v>
      </c>
      <c r="H52" s="1" t="str">
        <f t="shared" si="0"/>
        <v>Leading Edge (3-5nm)</v>
      </c>
      <c r="I52" s="1" t="str">
        <f t="shared" si="1"/>
        <v>USA</v>
      </c>
    </row>
    <row r="53" spans="1:9">
      <c r="A53" s="8">
        <v>2026</v>
      </c>
      <c r="B53" s="8" t="s">
        <v>112</v>
      </c>
      <c r="C53" s="8" t="s">
        <v>121</v>
      </c>
      <c r="D53" s="8">
        <v>5</v>
      </c>
      <c r="E53" s="8" t="s">
        <v>522</v>
      </c>
      <c r="F53" s="8">
        <v>44554</v>
      </c>
      <c r="G53" s="8">
        <v>2024</v>
      </c>
      <c r="H53" s="1" t="str">
        <f t="shared" si="0"/>
        <v>Leading Edge (3-5nm)</v>
      </c>
      <c r="I53" s="1" t="str">
        <f t="shared" si="1"/>
        <v>USA</v>
      </c>
    </row>
    <row r="54" spans="1:9">
      <c r="A54" s="8">
        <v>2026</v>
      </c>
      <c r="B54" s="8" t="s">
        <v>112</v>
      </c>
      <c r="C54" s="8" t="s">
        <v>121</v>
      </c>
      <c r="D54" s="8">
        <v>4</v>
      </c>
      <c r="E54" s="8" t="s">
        <v>522</v>
      </c>
      <c r="F54" s="8">
        <v>30882</v>
      </c>
      <c r="G54" s="8">
        <v>2026</v>
      </c>
      <c r="H54" s="1" t="str">
        <f t="shared" si="0"/>
        <v>Leading Edge (3-5nm)</v>
      </c>
      <c r="I54" s="1" t="str">
        <f t="shared" si="1"/>
        <v>USA</v>
      </c>
    </row>
    <row r="55" spans="1:9">
      <c r="A55" s="8">
        <v>2024</v>
      </c>
      <c r="B55" s="8" t="s">
        <v>112</v>
      </c>
      <c r="C55" s="8" t="s">
        <v>165</v>
      </c>
      <c r="D55" s="8">
        <v>28</v>
      </c>
      <c r="E55" s="8" t="s">
        <v>523</v>
      </c>
      <c r="F55" s="8">
        <v>0</v>
      </c>
      <c r="G55" s="8">
        <v>2024</v>
      </c>
      <c r="H55" s="1" t="str">
        <f t="shared" si="0"/>
        <v>Mature (22-28nm)</v>
      </c>
      <c r="I55" s="1" t="str">
        <f t="shared" si="1"/>
        <v>Japan</v>
      </c>
    </row>
    <row r="56" spans="1:9">
      <c r="A56" s="8">
        <v>2025</v>
      </c>
      <c r="B56" s="8" t="s">
        <v>112</v>
      </c>
      <c r="C56" s="8" t="s">
        <v>165</v>
      </c>
      <c r="D56" s="8">
        <v>28</v>
      </c>
      <c r="E56" s="8" t="s">
        <v>523</v>
      </c>
      <c r="F56" s="8">
        <v>58031</v>
      </c>
      <c r="G56" s="8">
        <v>2024</v>
      </c>
      <c r="H56" s="1" t="str">
        <f t="shared" si="0"/>
        <v>Mature (22-28nm)</v>
      </c>
      <c r="I56" s="1" t="str">
        <f t="shared" si="1"/>
        <v>Japan</v>
      </c>
    </row>
    <row r="57" spans="1:9">
      <c r="A57" s="8">
        <v>2026</v>
      </c>
      <c r="B57" s="8" t="s">
        <v>112</v>
      </c>
      <c r="C57" s="8" t="s">
        <v>165</v>
      </c>
      <c r="D57" s="8">
        <v>28</v>
      </c>
      <c r="E57" s="8" t="s">
        <v>523</v>
      </c>
      <c r="F57" s="8">
        <v>57313</v>
      </c>
      <c r="G57" s="8">
        <v>2024</v>
      </c>
      <c r="H57" s="1" t="str">
        <f t="shared" si="0"/>
        <v>Mature (22-28nm)</v>
      </c>
      <c r="I57" s="1" t="str">
        <f t="shared" si="1"/>
        <v>Japan</v>
      </c>
    </row>
    <row r="58" spans="1:9">
      <c r="A58" s="8">
        <v>2026</v>
      </c>
      <c r="B58" s="8" t="s">
        <v>112</v>
      </c>
      <c r="C58" s="8" t="s">
        <v>155</v>
      </c>
      <c r="D58" s="8">
        <v>28</v>
      </c>
      <c r="E58" s="8" t="s">
        <v>523</v>
      </c>
      <c r="F58" s="8">
        <v>22187</v>
      </c>
      <c r="G58" s="8">
        <v>2026</v>
      </c>
      <c r="H58" s="1" t="str">
        <f t="shared" si="0"/>
        <v>Mature (22-28nm)</v>
      </c>
      <c r="I58" s="1" t="str">
        <f t="shared" si="1"/>
        <v>Europe</v>
      </c>
    </row>
    <row r="59" spans="1:9">
      <c r="A59" s="8">
        <v>2022</v>
      </c>
      <c r="B59" s="8" t="s">
        <v>524</v>
      </c>
      <c r="C59" s="8" t="s">
        <v>118</v>
      </c>
      <c r="D59" s="8">
        <v>3</v>
      </c>
      <c r="E59" s="8" t="s">
        <v>522</v>
      </c>
      <c r="F59" s="8">
        <v>0</v>
      </c>
      <c r="G59" s="8">
        <v>2022</v>
      </c>
      <c r="H59" s="1" t="str">
        <f t="shared" si="0"/>
        <v>Leading Edge (3-5nm)</v>
      </c>
      <c r="I59" s="1" t="str">
        <f t="shared" si="1"/>
        <v>South Korea</v>
      </c>
    </row>
    <row r="60" spans="1:9">
      <c r="A60" s="8">
        <v>2023</v>
      </c>
      <c r="B60" s="8" t="s">
        <v>524</v>
      </c>
      <c r="C60" s="8" t="s">
        <v>118</v>
      </c>
      <c r="D60" s="8">
        <v>3</v>
      </c>
      <c r="E60" s="8" t="s">
        <v>522</v>
      </c>
      <c r="F60" s="8">
        <v>26145</v>
      </c>
      <c r="G60" s="8">
        <v>2022</v>
      </c>
      <c r="H60" s="1" t="str">
        <f t="shared" si="0"/>
        <v>Leading Edge (3-5nm)</v>
      </c>
      <c r="I60" s="1" t="str">
        <f t="shared" si="1"/>
        <v>South Korea</v>
      </c>
    </row>
    <row r="61" spans="1:9">
      <c r="A61" s="8">
        <v>2024</v>
      </c>
      <c r="B61" s="8" t="s">
        <v>524</v>
      </c>
      <c r="C61" s="8" t="s">
        <v>118</v>
      </c>
      <c r="D61" s="8">
        <v>3</v>
      </c>
      <c r="E61" s="8" t="s">
        <v>522</v>
      </c>
      <c r="F61" s="8">
        <v>47947</v>
      </c>
      <c r="G61" s="8">
        <v>2022</v>
      </c>
      <c r="H61" s="1" t="str">
        <f t="shared" si="0"/>
        <v>Leading Edge (3-5nm)</v>
      </c>
      <c r="I61" s="1" t="str">
        <f t="shared" si="1"/>
        <v>South Korea</v>
      </c>
    </row>
    <row r="62" spans="1:9">
      <c r="A62" s="8">
        <v>2025</v>
      </c>
      <c r="B62" s="8" t="s">
        <v>524</v>
      </c>
      <c r="C62" s="8" t="s">
        <v>118</v>
      </c>
      <c r="D62" s="8">
        <v>3</v>
      </c>
      <c r="E62" s="8" t="s">
        <v>522</v>
      </c>
      <c r="F62" s="8">
        <v>85089</v>
      </c>
      <c r="G62" s="8">
        <v>2022</v>
      </c>
      <c r="H62" s="1" t="str">
        <f t="shared" si="0"/>
        <v>Leading Edge (3-5nm)</v>
      </c>
      <c r="I62" s="1" t="str">
        <f t="shared" si="1"/>
        <v>South Korea</v>
      </c>
    </row>
    <row r="63" spans="1:9">
      <c r="A63" s="8">
        <v>2026</v>
      </c>
      <c r="B63" s="8" t="s">
        <v>524</v>
      </c>
      <c r="C63" s="8" t="s">
        <v>118</v>
      </c>
      <c r="D63" s="8">
        <v>3</v>
      </c>
      <c r="E63" s="8" t="s">
        <v>522</v>
      </c>
      <c r="F63" s="8">
        <v>91799</v>
      </c>
      <c r="G63" s="8">
        <v>2022</v>
      </c>
      <c r="H63" s="1" t="str">
        <f t="shared" si="0"/>
        <v>Leading Edge (3-5nm)</v>
      </c>
      <c r="I63" s="1" t="str">
        <f t="shared" si="1"/>
        <v>South Korea</v>
      </c>
    </row>
    <row r="64" spans="1:9">
      <c r="A64" s="8">
        <v>2020</v>
      </c>
      <c r="B64" s="8" t="s">
        <v>524</v>
      </c>
      <c r="C64" s="8" t="s">
        <v>118</v>
      </c>
      <c r="D64" s="8">
        <v>5</v>
      </c>
      <c r="E64" s="8" t="s">
        <v>522</v>
      </c>
      <c r="F64" s="8">
        <v>0</v>
      </c>
      <c r="G64" s="8">
        <v>2020</v>
      </c>
      <c r="H64" s="1" t="str">
        <f t="shared" si="0"/>
        <v>Leading Edge (3-5nm)</v>
      </c>
      <c r="I64" s="1" t="str">
        <f t="shared" si="1"/>
        <v>South Korea</v>
      </c>
    </row>
    <row r="65" spans="1:9">
      <c r="A65" s="8">
        <v>2021</v>
      </c>
      <c r="B65" s="8" t="s">
        <v>524</v>
      </c>
      <c r="C65" s="8" t="s">
        <v>118</v>
      </c>
      <c r="D65" s="8">
        <v>5</v>
      </c>
      <c r="E65" s="8" t="s">
        <v>522</v>
      </c>
      <c r="F65" s="8">
        <v>29024</v>
      </c>
      <c r="G65" s="8">
        <v>2020</v>
      </c>
      <c r="H65" s="1" t="str">
        <f t="shared" si="0"/>
        <v>Leading Edge (3-5nm)</v>
      </c>
      <c r="I65" s="1" t="str">
        <f t="shared" si="1"/>
        <v>South Korea</v>
      </c>
    </row>
    <row r="66" spans="1:9">
      <c r="A66" s="8">
        <v>2022</v>
      </c>
      <c r="B66" s="8" t="s">
        <v>524</v>
      </c>
      <c r="C66" s="8" t="s">
        <v>118</v>
      </c>
      <c r="D66" s="8">
        <v>5</v>
      </c>
      <c r="E66" s="8" t="s">
        <v>522</v>
      </c>
      <c r="F66" s="8">
        <v>56626</v>
      </c>
      <c r="G66" s="8">
        <v>2020</v>
      </c>
      <c r="H66" s="1" t="str">
        <f t="shared" si="0"/>
        <v>Leading Edge (3-5nm)</v>
      </c>
      <c r="I66" s="1" t="str">
        <f t="shared" si="1"/>
        <v>South Korea</v>
      </c>
    </row>
    <row r="67" spans="1:9">
      <c r="A67" s="8">
        <v>2023</v>
      </c>
      <c r="B67" s="8" t="s">
        <v>524</v>
      </c>
      <c r="C67" s="8" t="s">
        <v>118</v>
      </c>
      <c r="D67" s="8">
        <v>5</v>
      </c>
      <c r="E67" s="8" t="s">
        <v>522</v>
      </c>
      <c r="F67" s="8">
        <v>85759</v>
      </c>
      <c r="G67" s="8">
        <v>2020</v>
      </c>
      <c r="H67" s="1" t="str">
        <f t="shared" ref="H67:H130" si="2">IF(D67&lt;=5,"Leading Edge (3-5nm)",IF(D67&lt;=16,"Advanced (7-16nm)",IF(D67&lt;=28,"Mature (22-28nm)","Legacy (40nm+)")))</f>
        <v>Leading Edge (3-5nm)</v>
      </c>
      <c r="I67" s="1" t="str">
        <f t="shared" ref="I67:I130" si="3">IF(C67="TWN","Taiwan",IF(C67="KOR","South Korea",IF(C67="USA","USA",IF(C67="CHN","China",IF(C67="JPN","Japan",IF(C67="DEU","Europe",IF(C67="NLD","Europe",IF(C67="ITA","Europe",IF(C67="ISR","Middle East","Other")))))))))</f>
        <v>South Korea</v>
      </c>
    </row>
    <row r="68" spans="1:9">
      <c r="A68" s="8">
        <v>2024</v>
      </c>
      <c r="B68" s="8" t="s">
        <v>524</v>
      </c>
      <c r="C68" s="8" t="s">
        <v>118</v>
      </c>
      <c r="D68" s="8">
        <v>5</v>
      </c>
      <c r="E68" s="8" t="s">
        <v>522</v>
      </c>
      <c r="F68" s="8">
        <v>90240</v>
      </c>
      <c r="G68" s="8">
        <v>2020</v>
      </c>
      <c r="H68" s="1" t="str">
        <f t="shared" si="2"/>
        <v>Leading Edge (3-5nm)</v>
      </c>
      <c r="I68" s="1" t="str">
        <f t="shared" si="3"/>
        <v>South Korea</v>
      </c>
    </row>
    <row r="69" spans="1:9">
      <c r="A69" s="8">
        <v>2025</v>
      </c>
      <c r="B69" s="8" t="s">
        <v>524</v>
      </c>
      <c r="C69" s="8" t="s">
        <v>118</v>
      </c>
      <c r="D69" s="8">
        <v>5</v>
      </c>
      <c r="E69" s="8" t="s">
        <v>522</v>
      </c>
      <c r="F69" s="8">
        <v>85147</v>
      </c>
      <c r="G69" s="8">
        <v>2020</v>
      </c>
      <c r="H69" s="1" t="str">
        <f t="shared" si="2"/>
        <v>Leading Edge (3-5nm)</v>
      </c>
      <c r="I69" s="1" t="str">
        <f t="shared" si="3"/>
        <v>South Korea</v>
      </c>
    </row>
    <row r="70" spans="1:9">
      <c r="A70" s="8">
        <v>2026</v>
      </c>
      <c r="B70" s="8" t="s">
        <v>524</v>
      </c>
      <c r="C70" s="8" t="s">
        <v>118</v>
      </c>
      <c r="D70" s="8">
        <v>5</v>
      </c>
      <c r="E70" s="8" t="s">
        <v>522</v>
      </c>
      <c r="F70" s="8">
        <v>102087</v>
      </c>
      <c r="G70" s="8">
        <v>2020</v>
      </c>
      <c r="H70" s="1" t="str">
        <f t="shared" si="2"/>
        <v>Leading Edge (3-5nm)</v>
      </c>
      <c r="I70" s="1" t="str">
        <f t="shared" si="3"/>
        <v>South Korea</v>
      </c>
    </row>
    <row r="71" spans="1:9">
      <c r="A71" s="8">
        <v>2018</v>
      </c>
      <c r="B71" s="8" t="s">
        <v>524</v>
      </c>
      <c r="C71" s="8" t="s">
        <v>118</v>
      </c>
      <c r="D71" s="8">
        <v>7</v>
      </c>
      <c r="E71" s="8" t="s">
        <v>522</v>
      </c>
      <c r="F71" s="8">
        <v>0</v>
      </c>
      <c r="G71" s="8">
        <v>2018</v>
      </c>
      <c r="H71" s="1" t="str">
        <f t="shared" si="2"/>
        <v>Advanced (7-16nm)</v>
      </c>
      <c r="I71" s="1" t="str">
        <f t="shared" si="3"/>
        <v>South Korea</v>
      </c>
    </row>
    <row r="72" spans="1:9">
      <c r="A72" s="8">
        <v>2019</v>
      </c>
      <c r="B72" s="8" t="s">
        <v>524</v>
      </c>
      <c r="C72" s="8" t="s">
        <v>118</v>
      </c>
      <c r="D72" s="8">
        <v>7</v>
      </c>
      <c r="E72" s="8" t="s">
        <v>522</v>
      </c>
      <c r="F72" s="8">
        <v>32917</v>
      </c>
      <c r="G72" s="8">
        <v>2018</v>
      </c>
      <c r="H72" s="1" t="str">
        <f t="shared" si="2"/>
        <v>Advanced (7-16nm)</v>
      </c>
      <c r="I72" s="1" t="str">
        <f t="shared" si="3"/>
        <v>South Korea</v>
      </c>
    </row>
    <row r="73" spans="1:9">
      <c r="A73" s="8">
        <v>2020</v>
      </c>
      <c r="B73" s="8" t="s">
        <v>524</v>
      </c>
      <c r="C73" s="8" t="s">
        <v>118</v>
      </c>
      <c r="D73" s="8">
        <v>7</v>
      </c>
      <c r="E73" s="8" t="s">
        <v>522</v>
      </c>
      <c r="F73" s="8">
        <v>58889</v>
      </c>
      <c r="G73" s="8">
        <v>2018</v>
      </c>
      <c r="H73" s="1" t="str">
        <f t="shared" si="2"/>
        <v>Advanced (7-16nm)</v>
      </c>
      <c r="I73" s="1" t="str">
        <f t="shared" si="3"/>
        <v>South Korea</v>
      </c>
    </row>
    <row r="74" spans="1:9">
      <c r="A74" s="8">
        <v>2021</v>
      </c>
      <c r="B74" s="8" t="s">
        <v>524</v>
      </c>
      <c r="C74" s="8" t="s">
        <v>118</v>
      </c>
      <c r="D74" s="8">
        <v>7</v>
      </c>
      <c r="E74" s="8" t="s">
        <v>522</v>
      </c>
      <c r="F74" s="8">
        <v>95139</v>
      </c>
      <c r="G74" s="8">
        <v>2018</v>
      </c>
      <c r="H74" s="1" t="str">
        <f t="shared" si="2"/>
        <v>Advanced (7-16nm)</v>
      </c>
      <c r="I74" s="1" t="str">
        <f t="shared" si="3"/>
        <v>South Korea</v>
      </c>
    </row>
    <row r="75" spans="1:9">
      <c r="A75" s="8">
        <v>2022</v>
      </c>
      <c r="B75" s="8" t="s">
        <v>524</v>
      </c>
      <c r="C75" s="8" t="s">
        <v>118</v>
      </c>
      <c r="D75" s="8">
        <v>7</v>
      </c>
      <c r="E75" s="8" t="s">
        <v>522</v>
      </c>
      <c r="F75" s="8">
        <v>106358</v>
      </c>
      <c r="G75" s="8">
        <v>2018</v>
      </c>
      <c r="H75" s="1" t="str">
        <f t="shared" si="2"/>
        <v>Advanced (7-16nm)</v>
      </c>
      <c r="I75" s="1" t="str">
        <f t="shared" si="3"/>
        <v>South Korea</v>
      </c>
    </row>
    <row r="76" spans="1:9">
      <c r="A76" s="8">
        <v>2023</v>
      </c>
      <c r="B76" s="8" t="s">
        <v>524</v>
      </c>
      <c r="C76" s="8" t="s">
        <v>118</v>
      </c>
      <c r="D76" s="8">
        <v>7</v>
      </c>
      <c r="E76" s="8" t="s">
        <v>522</v>
      </c>
      <c r="F76" s="8">
        <v>87031</v>
      </c>
      <c r="G76" s="8">
        <v>2018</v>
      </c>
      <c r="H76" s="1" t="str">
        <f t="shared" si="2"/>
        <v>Advanced (7-16nm)</v>
      </c>
      <c r="I76" s="1" t="str">
        <f t="shared" si="3"/>
        <v>South Korea</v>
      </c>
    </row>
    <row r="77" spans="1:9">
      <c r="A77" s="8">
        <v>2024</v>
      </c>
      <c r="B77" s="8" t="s">
        <v>524</v>
      </c>
      <c r="C77" s="8" t="s">
        <v>118</v>
      </c>
      <c r="D77" s="8">
        <v>7</v>
      </c>
      <c r="E77" s="8" t="s">
        <v>522</v>
      </c>
      <c r="F77" s="8">
        <v>98277</v>
      </c>
      <c r="G77" s="8">
        <v>2018</v>
      </c>
      <c r="H77" s="1" t="str">
        <f t="shared" si="2"/>
        <v>Advanced (7-16nm)</v>
      </c>
      <c r="I77" s="1" t="str">
        <f t="shared" si="3"/>
        <v>South Korea</v>
      </c>
    </row>
    <row r="78" spans="1:9">
      <c r="A78" s="8">
        <v>2025</v>
      </c>
      <c r="B78" s="8" t="s">
        <v>524</v>
      </c>
      <c r="C78" s="8" t="s">
        <v>118</v>
      </c>
      <c r="D78" s="8">
        <v>7</v>
      </c>
      <c r="E78" s="8" t="s">
        <v>522</v>
      </c>
      <c r="F78" s="8">
        <v>98984</v>
      </c>
      <c r="G78" s="8">
        <v>2018</v>
      </c>
      <c r="H78" s="1" t="str">
        <f t="shared" si="2"/>
        <v>Advanced (7-16nm)</v>
      </c>
      <c r="I78" s="1" t="str">
        <f t="shared" si="3"/>
        <v>South Korea</v>
      </c>
    </row>
    <row r="79" spans="1:9">
      <c r="A79" s="8">
        <v>2026</v>
      </c>
      <c r="B79" s="8" t="s">
        <v>524</v>
      </c>
      <c r="C79" s="8" t="s">
        <v>118</v>
      </c>
      <c r="D79" s="8">
        <v>7</v>
      </c>
      <c r="E79" s="8" t="s">
        <v>522</v>
      </c>
      <c r="F79" s="8">
        <v>114515</v>
      </c>
      <c r="G79" s="8">
        <v>2018</v>
      </c>
      <c r="H79" s="1" t="str">
        <f t="shared" si="2"/>
        <v>Advanced (7-16nm)</v>
      </c>
      <c r="I79" s="1" t="str">
        <f t="shared" si="3"/>
        <v>South Korea</v>
      </c>
    </row>
    <row r="80" spans="1:9">
      <c r="A80" s="8">
        <v>2015</v>
      </c>
      <c r="B80" s="8" t="s">
        <v>524</v>
      </c>
      <c r="C80" s="8" t="s">
        <v>118</v>
      </c>
      <c r="D80" s="8">
        <v>14</v>
      </c>
      <c r="E80" s="8" t="s">
        <v>523</v>
      </c>
      <c r="F80" s="8">
        <v>0</v>
      </c>
      <c r="G80" s="8">
        <v>2015</v>
      </c>
      <c r="H80" s="1" t="str">
        <f t="shared" si="2"/>
        <v>Advanced (7-16nm)</v>
      </c>
      <c r="I80" s="1" t="str">
        <f t="shared" si="3"/>
        <v>South Korea</v>
      </c>
    </row>
    <row r="81" spans="1:9">
      <c r="A81" s="8">
        <v>2016</v>
      </c>
      <c r="B81" s="8" t="s">
        <v>524</v>
      </c>
      <c r="C81" s="8" t="s">
        <v>118</v>
      </c>
      <c r="D81" s="8">
        <v>14</v>
      </c>
      <c r="E81" s="8" t="s">
        <v>523</v>
      </c>
      <c r="F81" s="8">
        <v>51020</v>
      </c>
      <c r="G81" s="8">
        <v>2015</v>
      </c>
      <c r="H81" s="1" t="str">
        <f t="shared" si="2"/>
        <v>Advanced (7-16nm)</v>
      </c>
      <c r="I81" s="1" t="str">
        <f t="shared" si="3"/>
        <v>South Korea</v>
      </c>
    </row>
    <row r="82" spans="1:9">
      <c r="A82" s="8">
        <v>2017</v>
      </c>
      <c r="B82" s="8" t="s">
        <v>524</v>
      </c>
      <c r="C82" s="8" t="s">
        <v>118</v>
      </c>
      <c r="D82" s="8">
        <v>14</v>
      </c>
      <c r="E82" s="8" t="s">
        <v>523</v>
      </c>
      <c r="F82" s="8">
        <v>102867</v>
      </c>
      <c r="G82" s="8">
        <v>2015</v>
      </c>
      <c r="H82" s="1" t="str">
        <f t="shared" si="2"/>
        <v>Advanced (7-16nm)</v>
      </c>
      <c r="I82" s="1" t="str">
        <f t="shared" si="3"/>
        <v>South Korea</v>
      </c>
    </row>
    <row r="83" spans="1:9">
      <c r="A83" s="8">
        <v>2018</v>
      </c>
      <c r="B83" s="8" t="s">
        <v>524</v>
      </c>
      <c r="C83" s="8" t="s">
        <v>118</v>
      </c>
      <c r="D83" s="8">
        <v>14</v>
      </c>
      <c r="E83" s="8" t="s">
        <v>523</v>
      </c>
      <c r="F83" s="8">
        <v>164423</v>
      </c>
      <c r="G83" s="8">
        <v>2015</v>
      </c>
      <c r="H83" s="1" t="str">
        <f t="shared" si="2"/>
        <v>Advanced (7-16nm)</v>
      </c>
      <c r="I83" s="1" t="str">
        <f t="shared" si="3"/>
        <v>South Korea</v>
      </c>
    </row>
    <row r="84" spans="1:9">
      <c r="A84" s="8">
        <v>2019</v>
      </c>
      <c r="B84" s="8" t="s">
        <v>524</v>
      </c>
      <c r="C84" s="8" t="s">
        <v>118</v>
      </c>
      <c r="D84" s="8">
        <v>14</v>
      </c>
      <c r="E84" s="8" t="s">
        <v>523</v>
      </c>
      <c r="F84" s="8">
        <v>148485</v>
      </c>
      <c r="G84" s="8">
        <v>2015</v>
      </c>
      <c r="H84" s="1" t="str">
        <f t="shared" si="2"/>
        <v>Advanced (7-16nm)</v>
      </c>
      <c r="I84" s="1" t="str">
        <f t="shared" si="3"/>
        <v>South Korea</v>
      </c>
    </row>
    <row r="85" spans="1:9">
      <c r="A85" s="8">
        <v>2020</v>
      </c>
      <c r="B85" s="8" t="s">
        <v>524</v>
      </c>
      <c r="C85" s="8" t="s">
        <v>118</v>
      </c>
      <c r="D85" s="8">
        <v>14</v>
      </c>
      <c r="E85" s="8" t="s">
        <v>523</v>
      </c>
      <c r="F85" s="8">
        <v>152847</v>
      </c>
      <c r="G85" s="8">
        <v>2015</v>
      </c>
      <c r="H85" s="1" t="str">
        <f t="shared" si="2"/>
        <v>Advanced (7-16nm)</v>
      </c>
      <c r="I85" s="1" t="str">
        <f t="shared" si="3"/>
        <v>South Korea</v>
      </c>
    </row>
    <row r="86" spans="1:9">
      <c r="A86" s="8">
        <v>2021</v>
      </c>
      <c r="B86" s="8" t="s">
        <v>524</v>
      </c>
      <c r="C86" s="8" t="s">
        <v>118</v>
      </c>
      <c r="D86" s="8">
        <v>14</v>
      </c>
      <c r="E86" s="8" t="s">
        <v>523</v>
      </c>
      <c r="F86" s="8">
        <v>139265</v>
      </c>
      <c r="G86" s="8">
        <v>2015</v>
      </c>
      <c r="H86" s="1" t="str">
        <f t="shared" si="2"/>
        <v>Advanced (7-16nm)</v>
      </c>
      <c r="I86" s="1" t="str">
        <f t="shared" si="3"/>
        <v>South Korea</v>
      </c>
    </row>
    <row r="87" spans="1:9">
      <c r="A87" s="8">
        <v>2022</v>
      </c>
      <c r="B87" s="8" t="s">
        <v>524</v>
      </c>
      <c r="C87" s="8" t="s">
        <v>118</v>
      </c>
      <c r="D87" s="8">
        <v>14</v>
      </c>
      <c r="E87" s="8" t="s">
        <v>523</v>
      </c>
      <c r="F87" s="8">
        <v>159199</v>
      </c>
      <c r="G87" s="8">
        <v>2015</v>
      </c>
      <c r="H87" s="1" t="str">
        <f t="shared" si="2"/>
        <v>Advanced (7-16nm)</v>
      </c>
      <c r="I87" s="1" t="str">
        <f t="shared" si="3"/>
        <v>South Korea</v>
      </c>
    </row>
    <row r="88" spans="1:9">
      <c r="A88" s="8">
        <v>2023</v>
      </c>
      <c r="B88" s="8" t="s">
        <v>524</v>
      </c>
      <c r="C88" s="8" t="s">
        <v>118</v>
      </c>
      <c r="D88" s="8">
        <v>14</v>
      </c>
      <c r="E88" s="8" t="s">
        <v>523</v>
      </c>
      <c r="F88" s="8">
        <v>144403</v>
      </c>
      <c r="G88" s="8">
        <v>2015</v>
      </c>
      <c r="H88" s="1" t="str">
        <f t="shared" si="2"/>
        <v>Advanced (7-16nm)</v>
      </c>
      <c r="I88" s="1" t="str">
        <f t="shared" si="3"/>
        <v>South Korea</v>
      </c>
    </row>
    <row r="89" spans="1:9">
      <c r="A89" s="8">
        <v>2024</v>
      </c>
      <c r="B89" s="8" t="s">
        <v>524</v>
      </c>
      <c r="C89" s="8" t="s">
        <v>118</v>
      </c>
      <c r="D89" s="8">
        <v>14</v>
      </c>
      <c r="E89" s="8" t="s">
        <v>523</v>
      </c>
      <c r="F89" s="8">
        <v>145852</v>
      </c>
      <c r="G89" s="8">
        <v>2015</v>
      </c>
      <c r="H89" s="1" t="str">
        <f t="shared" si="2"/>
        <v>Advanced (7-16nm)</v>
      </c>
      <c r="I89" s="1" t="str">
        <f t="shared" si="3"/>
        <v>South Korea</v>
      </c>
    </row>
    <row r="90" spans="1:9">
      <c r="A90" s="8">
        <v>2025</v>
      </c>
      <c r="B90" s="8" t="s">
        <v>524</v>
      </c>
      <c r="C90" s="8" t="s">
        <v>118</v>
      </c>
      <c r="D90" s="8">
        <v>14</v>
      </c>
      <c r="E90" s="8" t="s">
        <v>523</v>
      </c>
      <c r="F90" s="8">
        <v>157324</v>
      </c>
      <c r="G90" s="8">
        <v>2015</v>
      </c>
      <c r="H90" s="1" t="str">
        <f t="shared" si="2"/>
        <v>Advanced (7-16nm)</v>
      </c>
      <c r="I90" s="1" t="str">
        <f t="shared" si="3"/>
        <v>South Korea</v>
      </c>
    </row>
    <row r="91" spans="1:9">
      <c r="A91" s="8">
        <v>2026</v>
      </c>
      <c r="B91" s="8" t="s">
        <v>524</v>
      </c>
      <c r="C91" s="8" t="s">
        <v>118</v>
      </c>
      <c r="D91" s="8">
        <v>14</v>
      </c>
      <c r="E91" s="8" t="s">
        <v>523</v>
      </c>
      <c r="F91" s="8">
        <v>152597</v>
      </c>
      <c r="G91" s="8">
        <v>2015</v>
      </c>
      <c r="H91" s="1" t="str">
        <f t="shared" si="2"/>
        <v>Advanced (7-16nm)</v>
      </c>
      <c r="I91" s="1" t="str">
        <f t="shared" si="3"/>
        <v>South Korea</v>
      </c>
    </row>
    <row r="92" spans="1:9">
      <c r="A92" s="8">
        <v>2024</v>
      </c>
      <c r="B92" s="8" t="s">
        <v>524</v>
      </c>
      <c r="C92" s="8" t="s">
        <v>121</v>
      </c>
      <c r="D92" s="8">
        <v>4</v>
      </c>
      <c r="E92" s="8" t="s">
        <v>522</v>
      </c>
      <c r="F92" s="8">
        <v>0</v>
      </c>
      <c r="G92" s="8">
        <v>2024</v>
      </c>
      <c r="H92" s="1" t="str">
        <f t="shared" si="2"/>
        <v>Leading Edge (3-5nm)</v>
      </c>
      <c r="I92" s="1" t="str">
        <f t="shared" si="3"/>
        <v>USA</v>
      </c>
    </row>
    <row r="93" spans="1:9">
      <c r="A93" s="8">
        <v>2025</v>
      </c>
      <c r="B93" s="8" t="s">
        <v>524</v>
      </c>
      <c r="C93" s="8" t="s">
        <v>121</v>
      </c>
      <c r="D93" s="8">
        <v>4</v>
      </c>
      <c r="E93" s="8" t="s">
        <v>522</v>
      </c>
      <c r="F93" s="8">
        <v>33061</v>
      </c>
      <c r="G93" s="8">
        <v>2024</v>
      </c>
      <c r="H93" s="1" t="str">
        <f t="shared" si="2"/>
        <v>Leading Edge (3-5nm)</v>
      </c>
      <c r="I93" s="1" t="str">
        <f t="shared" si="3"/>
        <v>USA</v>
      </c>
    </row>
    <row r="94" spans="1:9">
      <c r="A94" s="8">
        <v>2026</v>
      </c>
      <c r="B94" s="8" t="s">
        <v>524</v>
      </c>
      <c r="C94" s="8" t="s">
        <v>121</v>
      </c>
      <c r="D94" s="8">
        <v>4</v>
      </c>
      <c r="E94" s="8" t="s">
        <v>522</v>
      </c>
      <c r="F94" s="8">
        <v>33486</v>
      </c>
      <c r="G94" s="8">
        <v>2024</v>
      </c>
      <c r="H94" s="1" t="str">
        <f t="shared" si="2"/>
        <v>Leading Edge (3-5nm)</v>
      </c>
      <c r="I94" s="1" t="str">
        <f t="shared" si="3"/>
        <v>USA</v>
      </c>
    </row>
    <row r="95" spans="1:9">
      <c r="A95" s="8">
        <v>2023</v>
      </c>
      <c r="B95" s="8" t="s">
        <v>139</v>
      </c>
      <c r="C95" s="8" t="s">
        <v>121</v>
      </c>
      <c r="D95" s="8">
        <v>7</v>
      </c>
      <c r="E95" s="8" t="s">
        <v>522</v>
      </c>
      <c r="F95" s="8">
        <v>0</v>
      </c>
      <c r="G95" s="8">
        <v>2023</v>
      </c>
      <c r="H95" s="1" t="str">
        <f t="shared" si="2"/>
        <v>Advanced (7-16nm)</v>
      </c>
      <c r="I95" s="1" t="str">
        <f t="shared" si="3"/>
        <v>USA</v>
      </c>
    </row>
    <row r="96" spans="1:9">
      <c r="A96" s="8">
        <v>2024</v>
      </c>
      <c r="B96" s="8" t="s">
        <v>139</v>
      </c>
      <c r="C96" s="8" t="s">
        <v>121</v>
      </c>
      <c r="D96" s="8">
        <v>7</v>
      </c>
      <c r="E96" s="8" t="s">
        <v>522</v>
      </c>
      <c r="F96" s="8">
        <v>19876</v>
      </c>
      <c r="G96" s="8">
        <v>2023</v>
      </c>
      <c r="H96" s="1" t="str">
        <f t="shared" si="2"/>
        <v>Advanced (7-16nm)</v>
      </c>
      <c r="I96" s="1" t="str">
        <f t="shared" si="3"/>
        <v>USA</v>
      </c>
    </row>
    <row r="97" spans="1:9">
      <c r="A97" s="8">
        <v>2025</v>
      </c>
      <c r="B97" s="8" t="s">
        <v>139</v>
      </c>
      <c r="C97" s="8" t="s">
        <v>121</v>
      </c>
      <c r="D97" s="8">
        <v>7</v>
      </c>
      <c r="E97" s="8" t="s">
        <v>522</v>
      </c>
      <c r="F97" s="8">
        <v>65381</v>
      </c>
      <c r="G97" s="8">
        <v>2023</v>
      </c>
      <c r="H97" s="1" t="str">
        <f t="shared" si="2"/>
        <v>Advanced (7-16nm)</v>
      </c>
      <c r="I97" s="1" t="str">
        <f t="shared" si="3"/>
        <v>USA</v>
      </c>
    </row>
    <row r="98" spans="1:9">
      <c r="A98" s="8">
        <v>2026</v>
      </c>
      <c r="B98" s="8" t="s">
        <v>139</v>
      </c>
      <c r="C98" s="8" t="s">
        <v>121</v>
      </c>
      <c r="D98" s="8">
        <v>7</v>
      </c>
      <c r="E98" s="8" t="s">
        <v>522</v>
      </c>
      <c r="F98" s="8">
        <v>60084</v>
      </c>
      <c r="G98" s="8">
        <v>2023</v>
      </c>
      <c r="H98" s="1" t="str">
        <f t="shared" si="2"/>
        <v>Advanced (7-16nm)</v>
      </c>
      <c r="I98" s="1" t="str">
        <f t="shared" si="3"/>
        <v>USA</v>
      </c>
    </row>
    <row r="99" spans="1:9">
      <c r="A99" s="8">
        <v>2020</v>
      </c>
      <c r="B99" s="8" t="s">
        <v>139</v>
      </c>
      <c r="C99" s="8" t="s">
        <v>121</v>
      </c>
      <c r="D99" s="8">
        <v>10</v>
      </c>
      <c r="E99" s="8" t="s">
        <v>522</v>
      </c>
      <c r="F99" s="8">
        <v>0</v>
      </c>
      <c r="G99" s="8">
        <v>2020</v>
      </c>
      <c r="H99" s="1" t="str">
        <f t="shared" si="2"/>
        <v>Advanced (7-16nm)</v>
      </c>
      <c r="I99" s="1" t="str">
        <f t="shared" si="3"/>
        <v>USA</v>
      </c>
    </row>
    <row r="100" spans="1:9">
      <c r="A100" s="8">
        <v>2021</v>
      </c>
      <c r="B100" s="8" t="s">
        <v>139</v>
      </c>
      <c r="C100" s="8" t="s">
        <v>121</v>
      </c>
      <c r="D100" s="8">
        <v>10</v>
      </c>
      <c r="E100" s="8" t="s">
        <v>522</v>
      </c>
      <c r="F100" s="8">
        <v>27861</v>
      </c>
      <c r="G100" s="8">
        <v>2020</v>
      </c>
      <c r="H100" s="1" t="str">
        <f t="shared" si="2"/>
        <v>Advanced (7-16nm)</v>
      </c>
      <c r="I100" s="1" t="str">
        <f t="shared" si="3"/>
        <v>USA</v>
      </c>
    </row>
    <row r="101" spans="1:9">
      <c r="A101" s="8">
        <v>2022</v>
      </c>
      <c r="B101" s="8" t="s">
        <v>139</v>
      </c>
      <c r="C101" s="8" t="s">
        <v>121</v>
      </c>
      <c r="D101" s="8">
        <v>10</v>
      </c>
      <c r="E101" s="8" t="s">
        <v>522</v>
      </c>
      <c r="F101" s="8">
        <v>54058</v>
      </c>
      <c r="G101" s="8">
        <v>2020</v>
      </c>
      <c r="H101" s="1" t="str">
        <f t="shared" si="2"/>
        <v>Advanced (7-16nm)</v>
      </c>
      <c r="I101" s="1" t="str">
        <f t="shared" si="3"/>
        <v>USA</v>
      </c>
    </row>
    <row r="102" spans="1:9">
      <c r="A102" s="8">
        <v>2023</v>
      </c>
      <c r="B102" s="8" t="s">
        <v>139</v>
      </c>
      <c r="C102" s="8" t="s">
        <v>121</v>
      </c>
      <c r="D102" s="8">
        <v>10</v>
      </c>
      <c r="E102" s="8" t="s">
        <v>522</v>
      </c>
      <c r="F102" s="8">
        <v>81664</v>
      </c>
      <c r="G102" s="8">
        <v>2020</v>
      </c>
      <c r="H102" s="1" t="str">
        <f t="shared" si="2"/>
        <v>Advanced (7-16nm)</v>
      </c>
      <c r="I102" s="1" t="str">
        <f t="shared" si="3"/>
        <v>USA</v>
      </c>
    </row>
    <row r="103" spans="1:9">
      <c r="A103" s="8">
        <v>2024</v>
      </c>
      <c r="B103" s="8" t="s">
        <v>139</v>
      </c>
      <c r="C103" s="8" t="s">
        <v>121</v>
      </c>
      <c r="D103" s="8">
        <v>10</v>
      </c>
      <c r="E103" s="8" t="s">
        <v>522</v>
      </c>
      <c r="F103" s="8">
        <v>87794</v>
      </c>
      <c r="G103" s="8">
        <v>2020</v>
      </c>
      <c r="H103" s="1" t="str">
        <f t="shared" si="2"/>
        <v>Advanced (7-16nm)</v>
      </c>
      <c r="I103" s="1" t="str">
        <f t="shared" si="3"/>
        <v>USA</v>
      </c>
    </row>
    <row r="104" spans="1:9">
      <c r="A104" s="8">
        <v>2025</v>
      </c>
      <c r="B104" s="8" t="s">
        <v>139</v>
      </c>
      <c r="C104" s="8" t="s">
        <v>121</v>
      </c>
      <c r="D104" s="8">
        <v>10</v>
      </c>
      <c r="E104" s="8" t="s">
        <v>522</v>
      </c>
      <c r="F104" s="8">
        <v>85991</v>
      </c>
      <c r="G104" s="8">
        <v>2020</v>
      </c>
      <c r="H104" s="1" t="str">
        <f t="shared" si="2"/>
        <v>Advanced (7-16nm)</v>
      </c>
      <c r="I104" s="1" t="str">
        <f t="shared" si="3"/>
        <v>USA</v>
      </c>
    </row>
    <row r="105" spans="1:9">
      <c r="A105" s="8">
        <v>2026</v>
      </c>
      <c r="B105" s="8" t="s">
        <v>139</v>
      </c>
      <c r="C105" s="8" t="s">
        <v>121</v>
      </c>
      <c r="D105" s="8">
        <v>10</v>
      </c>
      <c r="E105" s="8" t="s">
        <v>522</v>
      </c>
      <c r="F105" s="8">
        <v>90942</v>
      </c>
      <c r="G105" s="8">
        <v>2020</v>
      </c>
      <c r="H105" s="1" t="str">
        <f t="shared" si="2"/>
        <v>Advanced (7-16nm)</v>
      </c>
      <c r="I105" s="1" t="str">
        <f t="shared" si="3"/>
        <v>USA</v>
      </c>
    </row>
    <row r="106" spans="1:9">
      <c r="A106" s="8">
        <v>2015</v>
      </c>
      <c r="B106" s="8" t="s">
        <v>139</v>
      </c>
      <c r="C106" s="8" t="s">
        <v>121</v>
      </c>
      <c r="D106" s="8">
        <v>14</v>
      </c>
      <c r="E106" s="8" t="s">
        <v>523</v>
      </c>
      <c r="F106" s="8">
        <v>0</v>
      </c>
      <c r="G106" s="8">
        <v>2015</v>
      </c>
      <c r="H106" s="1" t="str">
        <f t="shared" si="2"/>
        <v>Advanced (7-16nm)</v>
      </c>
      <c r="I106" s="1" t="str">
        <f t="shared" si="3"/>
        <v>USA</v>
      </c>
    </row>
    <row r="107" spans="1:9">
      <c r="A107" s="8">
        <v>2016</v>
      </c>
      <c r="B107" s="8" t="s">
        <v>139</v>
      </c>
      <c r="C107" s="8" t="s">
        <v>121</v>
      </c>
      <c r="D107" s="8">
        <v>14</v>
      </c>
      <c r="E107" s="8" t="s">
        <v>523</v>
      </c>
      <c r="F107" s="8">
        <v>32978</v>
      </c>
      <c r="G107" s="8">
        <v>2015</v>
      </c>
      <c r="H107" s="1" t="str">
        <f t="shared" si="2"/>
        <v>Advanced (7-16nm)</v>
      </c>
      <c r="I107" s="1" t="str">
        <f t="shared" si="3"/>
        <v>USA</v>
      </c>
    </row>
    <row r="108" spans="1:9">
      <c r="A108" s="8">
        <v>2017</v>
      </c>
      <c r="B108" s="8" t="s">
        <v>139</v>
      </c>
      <c r="C108" s="8" t="s">
        <v>121</v>
      </c>
      <c r="D108" s="8">
        <v>14</v>
      </c>
      <c r="E108" s="8" t="s">
        <v>523</v>
      </c>
      <c r="F108" s="8">
        <v>64059</v>
      </c>
      <c r="G108" s="8">
        <v>2015</v>
      </c>
      <c r="H108" s="1" t="str">
        <f t="shared" si="2"/>
        <v>Advanced (7-16nm)</v>
      </c>
      <c r="I108" s="1" t="str">
        <f t="shared" si="3"/>
        <v>USA</v>
      </c>
    </row>
    <row r="109" spans="1:9">
      <c r="A109" s="8">
        <v>2018</v>
      </c>
      <c r="B109" s="8" t="s">
        <v>139</v>
      </c>
      <c r="C109" s="8" t="s">
        <v>121</v>
      </c>
      <c r="D109" s="8">
        <v>14</v>
      </c>
      <c r="E109" s="8" t="s">
        <v>523</v>
      </c>
      <c r="F109" s="8">
        <v>102162</v>
      </c>
      <c r="G109" s="8">
        <v>2015</v>
      </c>
      <c r="H109" s="1" t="str">
        <f t="shared" si="2"/>
        <v>Advanced (7-16nm)</v>
      </c>
      <c r="I109" s="1" t="str">
        <f t="shared" si="3"/>
        <v>USA</v>
      </c>
    </row>
    <row r="110" spans="1:9">
      <c r="A110" s="8">
        <v>2019</v>
      </c>
      <c r="B110" s="8" t="s">
        <v>139</v>
      </c>
      <c r="C110" s="8" t="s">
        <v>121</v>
      </c>
      <c r="D110" s="8">
        <v>14</v>
      </c>
      <c r="E110" s="8" t="s">
        <v>523</v>
      </c>
      <c r="F110" s="8">
        <v>102219</v>
      </c>
      <c r="G110" s="8">
        <v>2015</v>
      </c>
      <c r="H110" s="1" t="str">
        <f t="shared" si="2"/>
        <v>Advanced (7-16nm)</v>
      </c>
      <c r="I110" s="1" t="str">
        <f t="shared" si="3"/>
        <v>USA</v>
      </c>
    </row>
    <row r="111" spans="1:9">
      <c r="A111" s="8">
        <v>2020</v>
      </c>
      <c r="B111" s="8" t="s">
        <v>139</v>
      </c>
      <c r="C111" s="8" t="s">
        <v>121</v>
      </c>
      <c r="D111" s="8">
        <v>14</v>
      </c>
      <c r="E111" s="8" t="s">
        <v>523</v>
      </c>
      <c r="F111" s="8">
        <v>97400</v>
      </c>
      <c r="G111" s="8">
        <v>2015</v>
      </c>
      <c r="H111" s="1" t="str">
        <f t="shared" si="2"/>
        <v>Advanced (7-16nm)</v>
      </c>
      <c r="I111" s="1" t="str">
        <f t="shared" si="3"/>
        <v>USA</v>
      </c>
    </row>
    <row r="112" spans="1:9">
      <c r="A112" s="8">
        <v>2021</v>
      </c>
      <c r="B112" s="8" t="s">
        <v>139</v>
      </c>
      <c r="C112" s="8" t="s">
        <v>121</v>
      </c>
      <c r="D112" s="8">
        <v>14</v>
      </c>
      <c r="E112" s="8" t="s">
        <v>523</v>
      </c>
      <c r="F112" s="8">
        <v>94968</v>
      </c>
      <c r="G112" s="8">
        <v>2015</v>
      </c>
      <c r="H112" s="1" t="str">
        <f t="shared" si="2"/>
        <v>Advanced (7-16nm)</v>
      </c>
      <c r="I112" s="1" t="str">
        <f t="shared" si="3"/>
        <v>USA</v>
      </c>
    </row>
    <row r="113" spans="1:9">
      <c r="A113" s="8">
        <v>2022</v>
      </c>
      <c r="B113" s="8" t="s">
        <v>139</v>
      </c>
      <c r="C113" s="8" t="s">
        <v>121</v>
      </c>
      <c r="D113" s="8">
        <v>14</v>
      </c>
      <c r="E113" s="8" t="s">
        <v>523</v>
      </c>
      <c r="F113" s="8">
        <v>112242</v>
      </c>
      <c r="G113" s="8">
        <v>2015</v>
      </c>
      <c r="H113" s="1" t="str">
        <f t="shared" si="2"/>
        <v>Advanced (7-16nm)</v>
      </c>
      <c r="I113" s="1" t="str">
        <f t="shared" si="3"/>
        <v>USA</v>
      </c>
    </row>
    <row r="114" spans="1:9">
      <c r="A114" s="8">
        <v>2023</v>
      </c>
      <c r="B114" s="8" t="s">
        <v>139</v>
      </c>
      <c r="C114" s="8" t="s">
        <v>121</v>
      </c>
      <c r="D114" s="8">
        <v>14</v>
      </c>
      <c r="E114" s="8" t="s">
        <v>523</v>
      </c>
      <c r="F114" s="8">
        <v>101647</v>
      </c>
      <c r="G114" s="8">
        <v>2015</v>
      </c>
      <c r="H114" s="1" t="str">
        <f t="shared" si="2"/>
        <v>Advanced (7-16nm)</v>
      </c>
      <c r="I114" s="1" t="str">
        <f t="shared" si="3"/>
        <v>USA</v>
      </c>
    </row>
    <row r="115" spans="1:9">
      <c r="A115" s="8">
        <v>2024</v>
      </c>
      <c r="B115" s="8" t="s">
        <v>139</v>
      </c>
      <c r="C115" s="8" t="s">
        <v>121</v>
      </c>
      <c r="D115" s="8">
        <v>14</v>
      </c>
      <c r="E115" s="8" t="s">
        <v>523</v>
      </c>
      <c r="F115" s="8">
        <v>96404</v>
      </c>
      <c r="G115" s="8">
        <v>2015</v>
      </c>
      <c r="H115" s="1" t="str">
        <f t="shared" si="2"/>
        <v>Advanced (7-16nm)</v>
      </c>
      <c r="I115" s="1" t="str">
        <f t="shared" si="3"/>
        <v>USA</v>
      </c>
    </row>
    <row r="116" spans="1:9">
      <c r="A116" s="8">
        <v>2025</v>
      </c>
      <c r="B116" s="8" t="s">
        <v>139</v>
      </c>
      <c r="C116" s="8" t="s">
        <v>121</v>
      </c>
      <c r="D116" s="8">
        <v>14</v>
      </c>
      <c r="E116" s="8" t="s">
        <v>523</v>
      </c>
      <c r="F116" s="8">
        <v>109920</v>
      </c>
      <c r="G116" s="8">
        <v>2015</v>
      </c>
      <c r="H116" s="1" t="str">
        <f t="shared" si="2"/>
        <v>Advanced (7-16nm)</v>
      </c>
      <c r="I116" s="1" t="str">
        <f t="shared" si="3"/>
        <v>USA</v>
      </c>
    </row>
    <row r="117" spans="1:9">
      <c r="A117" s="8">
        <v>2026</v>
      </c>
      <c r="B117" s="8" t="s">
        <v>139</v>
      </c>
      <c r="C117" s="8" t="s">
        <v>121</v>
      </c>
      <c r="D117" s="8">
        <v>14</v>
      </c>
      <c r="E117" s="8" t="s">
        <v>523</v>
      </c>
      <c r="F117" s="8">
        <v>109401</v>
      </c>
      <c r="G117" s="8">
        <v>2015</v>
      </c>
      <c r="H117" s="1" t="str">
        <f t="shared" si="2"/>
        <v>Advanced (7-16nm)</v>
      </c>
      <c r="I117" s="1" t="str">
        <f t="shared" si="3"/>
        <v>USA</v>
      </c>
    </row>
    <row r="118" spans="1:9">
      <c r="A118" s="8">
        <v>2012</v>
      </c>
      <c r="B118" s="8" t="s">
        <v>139</v>
      </c>
      <c r="C118" s="8" t="s">
        <v>121</v>
      </c>
      <c r="D118" s="8">
        <v>22</v>
      </c>
      <c r="E118" s="8" t="s">
        <v>523</v>
      </c>
      <c r="F118" s="8">
        <v>0</v>
      </c>
      <c r="G118" s="8">
        <v>2012</v>
      </c>
      <c r="H118" s="1" t="str">
        <f t="shared" si="2"/>
        <v>Mature (22-28nm)</v>
      </c>
      <c r="I118" s="1" t="str">
        <f t="shared" si="3"/>
        <v>USA</v>
      </c>
    </row>
    <row r="119" spans="1:9">
      <c r="A119" s="8">
        <v>2013</v>
      </c>
      <c r="B119" s="8" t="s">
        <v>139</v>
      </c>
      <c r="C119" s="8" t="s">
        <v>121</v>
      </c>
      <c r="D119" s="8">
        <v>22</v>
      </c>
      <c r="E119" s="8" t="s">
        <v>523</v>
      </c>
      <c r="F119" s="8">
        <v>51425</v>
      </c>
      <c r="G119" s="8">
        <v>2012</v>
      </c>
      <c r="H119" s="1" t="str">
        <f t="shared" si="2"/>
        <v>Mature (22-28nm)</v>
      </c>
      <c r="I119" s="1" t="str">
        <f t="shared" si="3"/>
        <v>USA</v>
      </c>
    </row>
    <row r="120" spans="1:9">
      <c r="A120" s="8">
        <v>2014</v>
      </c>
      <c r="B120" s="8" t="s">
        <v>139</v>
      </c>
      <c r="C120" s="8" t="s">
        <v>121</v>
      </c>
      <c r="D120" s="8">
        <v>22</v>
      </c>
      <c r="E120" s="8" t="s">
        <v>523</v>
      </c>
      <c r="F120" s="8">
        <v>93744</v>
      </c>
      <c r="G120" s="8">
        <v>2012</v>
      </c>
      <c r="H120" s="1" t="str">
        <f t="shared" si="2"/>
        <v>Mature (22-28nm)</v>
      </c>
      <c r="I120" s="1" t="str">
        <f t="shared" si="3"/>
        <v>USA</v>
      </c>
    </row>
    <row r="121" spans="1:9">
      <c r="A121" s="8">
        <v>2015</v>
      </c>
      <c r="B121" s="8" t="s">
        <v>139</v>
      </c>
      <c r="C121" s="8" t="s">
        <v>121</v>
      </c>
      <c r="D121" s="8">
        <v>22</v>
      </c>
      <c r="E121" s="8" t="s">
        <v>523</v>
      </c>
      <c r="F121" s="8">
        <v>152668</v>
      </c>
      <c r="G121" s="8">
        <v>2012</v>
      </c>
      <c r="H121" s="1" t="str">
        <f t="shared" si="2"/>
        <v>Mature (22-28nm)</v>
      </c>
      <c r="I121" s="1" t="str">
        <f t="shared" si="3"/>
        <v>USA</v>
      </c>
    </row>
    <row r="122" spans="1:9">
      <c r="A122" s="8">
        <v>2016</v>
      </c>
      <c r="B122" s="8" t="s">
        <v>139</v>
      </c>
      <c r="C122" s="8" t="s">
        <v>121</v>
      </c>
      <c r="D122" s="8">
        <v>22</v>
      </c>
      <c r="E122" s="8" t="s">
        <v>523</v>
      </c>
      <c r="F122" s="8">
        <v>165055</v>
      </c>
      <c r="G122" s="8">
        <v>2012</v>
      </c>
      <c r="H122" s="1" t="str">
        <f t="shared" si="2"/>
        <v>Mature (22-28nm)</v>
      </c>
      <c r="I122" s="1" t="str">
        <f t="shared" si="3"/>
        <v>USA</v>
      </c>
    </row>
    <row r="123" spans="1:9">
      <c r="A123" s="8">
        <v>2017</v>
      </c>
      <c r="B123" s="8" t="s">
        <v>139</v>
      </c>
      <c r="C123" s="8" t="s">
        <v>121</v>
      </c>
      <c r="D123" s="8">
        <v>22</v>
      </c>
      <c r="E123" s="8" t="s">
        <v>523</v>
      </c>
      <c r="F123" s="8">
        <v>153537</v>
      </c>
      <c r="G123" s="8">
        <v>2012</v>
      </c>
      <c r="H123" s="1" t="str">
        <f t="shared" si="2"/>
        <v>Mature (22-28nm)</v>
      </c>
      <c r="I123" s="1" t="str">
        <f t="shared" si="3"/>
        <v>USA</v>
      </c>
    </row>
    <row r="124" spans="1:9">
      <c r="A124" s="8">
        <v>2018</v>
      </c>
      <c r="B124" s="8" t="s">
        <v>139</v>
      </c>
      <c r="C124" s="8" t="s">
        <v>121</v>
      </c>
      <c r="D124" s="8">
        <v>22</v>
      </c>
      <c r="E124" s="8" t="s">
        <v>523</v>
      </c>
      <c r="F124" s="8">
        <v>147204</v>
      </c>
      <c r="G124" s="8">
        <v>2012</v>
      </c>
      <c r="H124" s="1" t="str">
        <f t="shared" si="2"/>
        <v>Mature (22-28nm)</v>
      </c>
      <c r="I124" s="1" t="str">
        <f t="shared" si="3"/>
        <v>USA</v>
      </c>
    </row>
    <row r="125" spans="1:9">
      <c r="A125" s="8">
        <v>2019</v>
      </c>
      <c r="B125" s="8" t="s">
        <v>139</v>
      </c>
      <c r="C125" s="8" t="s">
        <v>121</v>
      </c>
      <c r="D125" s="8">
        <v>22</v>
      </c>
      <c r="E125" s="8" t="s">
        <v>523</v>
      </c>
      <c r="F125" s="8">
        <v>146244</v>
      </c>
      <c r="G125" s="8">
        <v>2012</v>
      </c>
      <c r="H125" s="1" t="str">
        <f t="shared" si="2"/>
        <v>Mature (22-28nm)</v>
      </c>
      <c r="I125" s="1" t="str">
        <f t="shared" si="3"/>
        <v>USA</v>
      </c>
    </row>
    <row r="126" spans="1:9">
      <c r="A126" s="8">
        <v>2020</v>
      </c>
      <c r="B126" s="8" t="s">
        <v>139</v>
      </c>
      <c r="C126" s="8" t="s">
        <v>121</v>
      </c>
      <c r="D126" s="8">
        <v>22</v>
      </c>
      <c r="E126" s="8" t="s">
        <v>523</v>
      </c>
      <c r="F126" s="8">
        <v>146953</v>
      </c>
      <c r="G126" s="8">
        <v>2012</v>
      </c>
      <c r="H126" s="1" t="str">
        <f t="shared" si="2"/>
        <v>Mature (22-28nm)</v>
      </c>
      <c r="I126" s="1" t="str">
        <f t="shared" si="3"/>
        <v>USA</v>
      </c>
    </row>
    <row r="127" spans="1:9">
      <c r="A127" s="8">
        <v>2021</v>
      </c>
      <c r="B127" s="8" t="s">
        <v>139</v>
      </c>
      <c r="C127" s="8" t="s">
        <v>121</v>
      </c>
      <c r="D127" s="8">
        <v>22</v>
      </c>
      <c r="E127" s="8" t="s">
        <v>523</v>
      </c>
      <c r="F127" s="8">
        <v>148107</v>
      </c>
      <c r="G127" s="8">
        <v>2012</v>
      </c>
      <c r="H127" s="1" t="str">
        <f t="shared" si="2"/>
        <v>Mature (22-28nm)</v>
      </c>
      <c r="I127" s="1" t="str">
        <f t="shared" si="3"/>
        <v>USA</v>
      </c>
    </row>
    <row r="128" spans="1:9">
      <c r="A128" s="8">
        <v>2022</v>
      </c>
      <c r="B128" s="8" t="s">
        <v>139</v>
      </c>
      <c r="C128" s="8" t="s">
        <v>121</v>
      </c>
      <c r="D128" s="8">
        <v>22</v>
      </c>
      <c r="E128" s="8" t="s">
        <v>523</v>
      </c>
      <c r="F128" s="8">
        <v>147193</v>
      </c>
      <c r="G128" s="8">
        <v>2012</v>
      </c>
      <c r="H128" s="1" t="str">
        <f t="shared" si="2"/>
        <v>Mature (22-28nm)</v>
      </c>
      <c r="I128" s="1" t="str">
        <f t="shared" si="3"/>
        <v>USA</v>
      </c>
    </row>
    <row r="129" spans="1:9">
      <c r="A129" s="8">
        <v>2023</v>
      </c>
      <c r="B129" s="8" t="s">
        <v>139</v>
      </c>
      <c r="C129" s="8" t="s">
        <v>121</v>
      </c>
      <c r="D129" s="8">
        <v>22</v>
      </c>
      <c r="E129" s="8" t="s">
        <v>523</v>
      </c>
      <c r="F129" s="8">
        <v>157032</v>
      </c>
      <c r="G129" s="8">
        <v>2012</v>
      </c>
      <c r="H129" s="1" t="str">
        <f t="shared" si="2"/>
        <v>Mature (22-28nm)</v>
      </c>
      <c r="I129" s="1" t="str">
        <f t="shared" si="3"/>
        <v>USA</v>
      </c>
    </row>
    <row r="130" spans="1:9">
      <c r="A130" s="8">
        <v>2024</v>
      </c>
      <c r="B130" s="8" t="s">
        <v>139</v>
      </c>
      <c r="C130" s="8" t="s">
        <v>121</v>
      </c>
      <c r="D130" s="8">
        <v>22</v>
      </c>
      <c r="E130" s="8" t="s">
        <v>523</v>
      </c>
      <c r="F130" s="8">
        <v>137548</v>
      </c>
      <c r="G130" s="8">
        <v>2012</v>
      </c>
      <c r="H130" s="1" t="str">
        <f t="shared" si="2"/>
        <v>Mature (22-28nm)</v>
      </c>
      <c r="I130" s="1" t="str">
        <f t="shared" si="3"/>
        <v>USA</v>
      </c>
    </row>
    <row r="131" spans="1:9">
      <c r="A131" s="8">
        <v>2025</v>
      </c>
      <c r="B131" s="8" t="s">
        <v>139</v>
      </c>
      <c r="C131" s="8" t="s">
        <v>121</v>
      </c>
      <c r="D131" s="8">
        <v>22</v>
      </c>
      <c r="E131" s="8" t="s">
        <v>523</v>
      </c>
      <c r="F131" s="8">
        <v>164436</v>
      </c>
      <c r="G131" s="8">
        <v>2012</v>
      </c>
      <c r="H131" s="1" t="str">
        <f t="shared" ref="H131:H194" si="4">IF(D131&lt;=5,"Leading Edge (3-5nm)",IF(D131&lt;=16,"Advanced (7-16nm)",IF(D131&lt;=28,"Mature (22-28nm)","Legacy (40nm+)")))</f>
        <v>Mature (22-28nm)</v>
      </c>
      <c r="I131" s="1" t="str">
        <f t="shared" ref="I131:I194" si="5">IF(C131="TWN","Taiwan",IF(C131="KOR","South Korea",IF(C131="USA","USA",IF(C131="CHN","China",IF(C131="JPN","Japan",IF(C131="DEU","Europe",IF(C131="NLD","Europe",IF(C131="ITA","Europe",IF(C131="ISR","Middle East","Other")))))))))</f>
        <v>USA</v>
      </c>
    </row>
    <row r="132" spans="1:9">
      <c r="A132" s="8">
        <v>2026</v>
      </c>
      <c r="B132" s="8" t="s">
        <v>139</v>
      </c>
      <c r="C132" s="8" t="s">
        <v>121</v>
      </c>
      <c r="D132" s="8">
        <v>22</v>
      </c>
      <c r="E132" s="8" t="s">
        <v>523</v>
      </c>
      <c r="F132" s="8">
        <v>161897</v>
      </c>
      <c r="G132" s="8">
        <v>2012</v>
      </c>
      <c r="H132" s="1" t="str">
        <f t="shared" si="4"/>
        <v>Mature (22-28nm)</v>
      </c>
      <c r="I132" s="1" t="str">
        <f t="shared" si="5"/>
        <v>USA</v>
      </c>
    </row>
    <row r="133" spans="1:9">
      <c r="A133" s="8">
        <v>2024</v>
      </c>
      <c r="B133" s="8" t="s">
        <v>139</v>
      </c>
      <c r="C133" s="8" t="s">
        <v>525</v>
      </c>
      <c r="D133" s="8">
        <v>7</v>
      </c>
      <c r="E133" s="8" t="s">
        <v>522</v>
      </c>
      <c r="F133" s="8">
        <v>0</v>
      </c>
      <c r="G133" s="8">
        <v>2024</v>
      </c>
      <c r="H133" s="1" t="str">
        <f t="shared" si="4"/>
        <v>Advanced (7-16nm)</v>
      </c>
      <c r="I133" s="1" t="str">
        <f t="shared" si="5"/>
        <v>Middle East</v>
      </c>
    </row>
    <row r="134" spans="1:9">
      <c r="A134" s="8">
        <v>2025</v>
      </c>
      <c r="B134" s="8" t="s">
        <v>139</v>
      </c>
      <c r="C134" s="8" t="s">
        <v>525</v>
      </c>
      <c r="D134" s="8">
        <v>7</v>
      </c>
      <c r="E134" s="8" t="s">
        <v>522</v>
      </c>
      <c r="F134" s="8">
        <v>39698</v>
      </c>
      <c r="G134" s="8">
        <v>2024</v>
      </c>
      <c r="H134" s="1" t="str">
        <f t="shared" si="4"/>
        <v>Advanced (7-16nm)</v>
      </c>
      <c r="I134" s="1" t="str">
        <f t="shared" si="5"/>
        <v>Middle East</v>
      </c>
    </row>
    <row r="135" spans="1:9">
      <c r="A135" s="8">
        <v>2026</v>
      </c>
      <c r="B135" s="8" t="s">
        <v>139</v>
      </c>
      <c r="C135" s="8" t="s">
        <v>525</v>
      </c>
      <c r="D135" s="8">
        <v>7</v>
      </c>
      <c r="E135" s="8" t="s">
        <v>522</v>
      </c>
      <c r="F135" s="8">
        <v>47022</v>
      </c>
      <c r="G135" s="8">
        <v>2024</v>
      </c>
      <c r="H135" s="1" t="str">
        <f t="shared" si="4"/>
        <v>Advanced (7-16nm)</v>
      </c>
      <c r="I135" s="1" t="str">
        <f t="shared" si="5"/>
        <v>Middle East</v>
      </c>
    </row>
    <row r="136" spans="1:9">
      <c r="A136" s="8">
        <v>2026</v>
      </c>
      <c r="B136" s="8" t="s">
        <v>139</v>
      </c>
      <c r="C136" s="8" t="s">
        <v>155</v>
      </c>
      <c r="D136" s="8">
        <v>7</v>
      </c>
      <c r="E136" s="8" t="s">
        <v>522</v>
      </c>
      <c r="F136" s="8">
        <v>23413</v>
      </c>
      <c r="G136" s="8">
        <v>2026</v>
      </c>
      <c r="H136" s="1" t="str">
        <f t="shared" si="4"/>
        <v>Advanced (7-16nm)</v>
      </c>
      <c r="I136" s="1" t="str">
        <f t="shared" si="5"/>
        <v>Europe</v>
      </c>
    </row>
    <row r="137" spans="1:9">
      <c r="A137" s="8">
        <v>2020</v>
      </c>
      <c r="B137" s="8" t="s">
        <v>123</v>
      </c>
      <c r="C137" s="8" t="s">
        <v>125</v>
      </c>
      <c r="D137" s="8">
        <v>14</v>
      </c>
      <c r="E137" s="8" t="s">
        <v>523</v>
      </c>
      <c r="F137" s="8">
        <v>0</v>
      </c>
      <c r="G137" s="8">
        <v>2020</v>
      </c>
      <c r="H137" s="1" t="str">
        <f t="shared" si="4"/>
        <v>Advanced (7-16nm)</v>
      </c>
      <c r="I137" s="1" t="str">
        <f t="shared" si="5"/>
        <v>China</v>
      </c>
    </row>
    <row r="138" spans="1:9">
      <c r="A138" s="8">
        <v>2021</v>
      </c>
      <c r="B138" s="8" t="s">
        <v>123</v>
      </c>
      <c r="C138" s="8" t="s">
        <v>125</v>
      </c>
      <c r="D138" s="8">
        <v>14</v>
      </c>
      <c r="E138" s="8" t="s">
        <v>523</v>
      </c>
      <c r="F138" s="8">
        <v>10815</v>
      </c>
      <c r="G138" s="8">
        <v>2020</v>
      </c>
      <c r="H138" s="1" t="str">
        <f t="shared" si="4"/>
        <v>Advanced (7-16nm)</v>
      </c>
      <c r="I138" s="1" t="str">
        <f t="shared" si="5"/>
        <v>China</v>
      </c>
    </row>
    <row r="139" spans="1:9">
      <c r="A139" s="8">
        <v>2022</v>
      </c>
      <c r="B139" s="8" t="s">
        <v>123</v>
      </c>
      <c r="C139" s="8" t="s">
        <v>125</v>
      </c>
      <c r="D139" s="8">
        <v>14</v>
      </c>
      <c r="E139" s="8" t="s">
        <v>523</v>
      </c>
      <c r="F139" s="8">
        <v>24320</v>
      </c>
      <c r="G139" s="8">
        <v>2020</v>
      </c>
      <c r="H139" s="1" t="str">
        <f t="shared" si="4"/>
        <v>Advanced (7-16nm)</v>
      </c>
      <c r="I139" s="1" t="str">
        <f t="shared" si="5"/>
        <v>China</v>
      </c>
    </row>
    <row r="140" spans="1:9">
      <c r="A140" s="8">
        <v>2023</v>
      </c>
      <c r="B140" s="8" t="s">
        <v>123</v>
      </c>
      <c r="C140" s="8" t="s">
        <v>125</v>
      </c>
      <c r="D140" s="8">
        <v>14</v>
      </c>
      <c r="E140" s="8" t="s">
        <v>523</v>
      </c>
      <c r="F140" s="8">
        <v>35715</v>
      </c>
      <c r="G140" s="8">
        <v>2020</v>
      </c>
      <c r="H140" s="1" t="str">
        <f t="shared" si="4"/>
        <v>Advanced (7-16nm)</v>
      </c>
      <c r="I140" s="1" t="str">
        <f t="shared" si="5"/>
        <v>China</v>
      </c>
    </row>
    <row r="141" spans="1:9">
      <c r="A141" s="8">
        <v>2024</v>
      </c>
      <c r="B141" s="8" t="s">
        <v>123</v>
      </c>
      <c r="C141" s="8" t="s">
        <v>125</v>
      </c>
      <c r="D141" s="8">
        <v>14</v>
      </c>
      <c r="E141" s="8" t="s">
        <v>523</v>
      </c>
      <c r="F141" s="8">
        <v>32300</v>
      </c>
      <c r="G141" s="8">
        <v>2020</v>
      </c>
      <c r="H141" s="1" t="str">
        <f t="shared" si="4"/>
        <v>Advanced (7-16nm)</v>
      </c>
      <c r="I141" s="1" t="str">
        <f t="shared" si="5"/>
        <v>China</v>
      </c>
    </row>
    <row r="142" spans="1:9">
      <c r="A142" s="8">
        <v>2025</v>
      </c>
      <c r="B142" s="8" t="s">
        <v>123</v>
      </c>
      <c r="C142" s="8" t="s">
        <v>125</v>
      </c>
      <c r="D142" s="8">
        <v>14</v>
      </c>
      <c r="E142" s="8" t="s">
        <v>523</v>
      </c>
      <c r="F142" s="8">
        <v>36705</v>
      </c>
      <c r="G142" s="8">
        <v>2020</v>
      </c>
      <c r="H142" s="1" t="str">
        <f t="shared" si="4"/>
        <v>Advanced (7-16nm)</v>
      </c>
      <c r="I142" s="1" t="str">
        <f t="shared" si="5"/>
        <v>China</v>
      </c>
    </row>
    <row r="143" spans="1:9">
      <c r="A143" s="8">
        <v>2026</v>
      </c>
      <c r="B143" s="8" t="s">
        <v>123</v>
      </c>
      <c r="C143" s="8" t="s">
        <v>125</v>
      </c>
      <c r="D143" s="8">
        <v>14</v>
      </c>
      <c r="E143" s="8" t="s">
        <v>523</v>
      </c>
      <c r="F143" s="8">
        <v>39208</v>
      </c>
      <c r="G143" s="8">
        <v>2020</v>
      </c>
      <c r="H143" s="1" t="str">
        <f t="shared" si="4"/>
        <v>Advanced (7-16nm)</v>
      </c>
      <c r="I143" s="1" t="str">
        <f t="shared" si="5"/>
        <v>China</v>
      </c>
    </row>
    <row r="144" spans="1:9">
      <c r="A144" s="8">
        <v>2016</v>
      </c>
      <c r="B144" s="8" t="s">
        <v>123</v>
      </c>
      <c r="C144" s="8" t="s">
        <v>125</v>
      </c>
      <c r="D144" s="8">
        <v>28</v>
      </c>
      <c r="E144" s="8" t="s">
        <v>523</v>
      </c>
      <c r="F144" s="8">
        <v>0</v>
      </c>
      <c r="G144" s="8">
        <v>2016</v>
      </c>
      <c r="H144" s="1" t="str">
        <f t="shared" si="4"/>
        <v>Mature (22-28nm)</v>
      </c>
      <c r="I144" s="1" t="str">
        <f t="shared" si="5"/>
        <v>China</v>
      </c>
    </row>
    <row r="145" spans="1:9">
      <c r="A145" s="8">
        <v>2017</v>
      </c>
      <c r="B145" s="8" t="s">
        <v>123</v>
      </c>
      <c r="C145" s="8" t="s">
        <v>125</v>
      </c>
      <c r="D145" s="8">
        <v>28</v>
      </c>
      <c r="E145" s="8" t="s">
        <v>523</v>
      </c>
      <c r="F145" s="8">
        <v>20178</v>
      </c>
      <c r="G145" s="8">
        <v>2016</v>
      </c>
      <c r="H145" s="1" t="str">
        <f t="shared" si="4"/>
        <v>Mature (22-28nm)</v>
      </c>
      <c r="I145" s="1" t="str">
        <f t="shared" si="5"/>
        <v>China</v>
      </c>
    </row>
    <row r="146" spans="1:9">
      <c r="A146" s="8">
        <v>2018</v>
      </c>
      <c r="B146" s="8" t="s">
        <v>123</v>
      </c>
      <c r="C146" s="8" t="s">
        <v>125</v>
      </c>
      <c r="D146" s="8">
        <v>28</v>
      </c>
      <c r="E146" s="8" t="s">
        <v>523</v>
      </c>
      <c r="F146" s="8">
        <v>40586</v>
      </c>
      <c r="G146" s="8">
        <v>2016</v>
      </c>
      <c r="H146" s="1" t="str">
        <f t="shared" si="4"/>
        <v>Mature (22-28nm)</v>
      </c>
      <c r="I146" s="1" t="str">
        <f t="shared" si="5"/>
        <v>China</v>
      </c>
    </row>
    <row r="147" spans="1:9">
      <c r="A147" s="8">
        <v>2019</v>
      </c>
      <c r="B147" s="8" t="s">
        <v>123</v>
      </c>
      <c r="C147" s="8" t="s">
        <v>125</v>
      </c>
      <c r="D147" s="8">
        <v>28</v>
      </c>
      <c r="E147" s="8" t="s">
        <v>523</v>
      </c>
      <c r="F147" s="8">
        <v>64587</v>
      </c>
      <c r="G147" s="8">
        <v>2016</v>
      </c>
      <c r="H147" s="1" t="str">
        <f t="shared" si="4"/>
        <v>Mature (22-28nm)</v>
      </c>
      <c r="I147" s="1" t="str">
        <f t="shared" si="5"/>
        <v>China</v>
      </c>
    </row>
    <row r="148" spans="1:9">
      <c r="A148" s="8">
        <v>2020</v>
      </c>
      <c r="B148" s="8" t="s">
        <v>123</v>
      </c>
      <c r="C148" s="8" t="s">
        <v>125</v>
      </c>
      <c r="D148" s="8">
        <v>28</v>
      </c>
      <c r="E148" s="8" t="s">
        <v>523</v>
      </c>
      <c r="F148" s="8">
        <v>63793</v>
      </c>
      <c r="G148" s="8">
        <v>2016</v>
      </c>
      <c r="H148" s="1" t="str">
        <f t="shared" si="4"/>
        <v>Mature (22-28nm)</v>
      </c>
      <c r="I148" s="1" t="str">
        <f t="shared" si="5"/>
        <v>China</v>
      </c>
    </row>
    <row r="149" spans="1:9">
      <c r="A149" s="8">
        <v>2021</v>
      </c>
      <c r="B149" s="8" t="s">
        <v>123</v>
      </c>
      <c r="C149" s="8" t="s">
        <v>125</v>
      </c>
      <c r="D149" s="8">
        <v>28</v>
      </c>
      <c r="E149" s="8" t="s">
        <v>523</v>
      </c>
      <c r="F149" s="8">
        <v>51986</v>
      </c>
      <c r="G149" s="8">
        <v>2016</v>
      </c>
      <c r="H149" s="1" t="str">
        <f t="shared" si="4"/>
        <v>Mature (22-28nm)</v>
      </c>
      <c r="I149" s="1" t="str">
        <f t="shared" si="5"/>
        <v>China</v>
      </c>
    </row>
    <row r="150" spans="1:9">
      <c r="A150" s="8">
        <v>2022</v>
      </c>
      <c r="B150" s="8" t="s">
        <v>123</v>
      </c>
      <c r="C150" s="8" t="s">
        <v>125</v>
      </c>
      <c r="D150" s="8">
        <v>28</v>
      </c>
      <c r="E150" s="8" t="s">
        <v>523</v>
      </c>
      <c r="F150" s="8">
        <v>59055</v>
      </c>
      <c r="G150" s="8">
        <v>2016</v>
      </c>
      <c r="H150" s="1" t="str">
        <f t="shared" si="4"/>
        <v>Mature (22-28nm)</v>
      </c>
      <c r="I150" s="1" t="str">
        <f t="shared" si="5"/>
        <v>China</v>
      </c>
    </row>
    <row r="151" spans="1:9">
      <c r="A151" s="8">
        <v>2023</v>
      </c>
      <c r="B151" s="8" t="s">
        <v>123</v>
      </c>
      <c r="C151" s="8" t="s">
        <v>125</v>
      </c>
      <c r="D151" s="8">
        <v>28</v>
      </c>
      <c r="E151" s="8" t="s">
        <v>523</v>
      </c>
      <c r="F151" s="8">
        <v>59508</v>
      </c>
      <c r="G151" s="8">
        <v>2016</v>
      </c>
      <c r="H151" s="1" t="str">
        <f t="shared" si="4"/>
        <v>Mature (22-28nm)</v>
      </c>
      <c r="I151" s="1" t="str">
        <f t="shared" si="5"/>
        <v>China</v>
      </c>
    </row>
    <row r="152" spans="1:9">
      <c r="A152" s="8">
        <v>2024</v>
      </c>
      <c r="B152" s="8" t="s">
        <v>123</v>
      </c>
      <c r="C152" s="8" t="s">
        <v>125</v>
      </c>
      <c r="D152" s="8">
        <v>28</v>
      </c>
      <c r="E152" s="8" t="s">
        <v>523</v>
      </c>
      <c r="F152" s="8">
        <v>54967</v>
      </c>
      <c r="G152" s="8">
        <v>2016</v>
      </c>
      <c r="H152" s="1" t="str">
        <f t="shared" si="4"/>
        <v>Mature (22-28nm)</v>
      </c>
      <c r="I152" s="1" t="str">
        <f t="shared" si="5"/>
        <v>China</v>
      </c>
    </row>
    <row r="153" spans="1:9">
      <c r="A153" s="8">
        <v>2025</v>
      </c>
      <c r="B153" s="8" t="s">
        <v>123</v>
      </c>
      <c r="C153" s="8" t="s">
        <v>125</v>
      </c>
      <c r="D153" s="8">
        <v>28</v>
      </c>
      <c r="E153" s="8" t="s">
        <v>523</v>
      </c>
      <c r="F153" s="8">
        <v>63297</v>
      </c>
      <c r="G153" s="8">
        <v>2016</v>
      </c>
      <c r="H153" s="1" t="str">
        <f t="shared" si="4"/>
        <v>Mature (22-28nm)</v>
      </c>
      <c r="I153" s="1" t="str">
        <f t="shared" si="5"/>
        <v>China</v>
      </c>
    </row>
    <row r="154" spans="1:9">
      <c r="A154" s="8">
        <v>2026</v>
      </c>
      <c r="B154" s="8" t="s">
        <v>123</v>
      </c>
      <c r="C154" s="8" t="s">
        <v>125</v>
      </c>
      <c r="D154" s="8">
        <v>28</v>
      </c>
      <c r="E154" s="8" t="s">
        <v>523</v>
      </c>
      <c r="F154" s="8">
        <v>70252</v>
      </c>
      <c r="G154" s="8">
        <v>2016</v>
      </c>
      <c r="H154" s="1" t="str">
        <f t="shared" si="4"/>
        <v>Mature (22-28nm)</v>
      </c>
      <c r="I154" s="1" t="str">
        <f t="shared" si="5"/>
        <v>China</v>
      </c>
    </row>
    <row r="155" spans="1:9">
      <c r="A155" s="8">
        <v>2023</v>
      </c>
      <c r="B155" s="8" t="s">
        <v>123</v>
      </c>
      <c r="C155" s="8" t="s">
        <v>125</v>
      </c>
      <c r="D155" s="8">
        <v>7</v>
      </c>
      <c r="E155" s="8" t="s">
        <v>522</v>
      </c>
      <c r="F155" s="8">
        <v>0</v>
      </c>
      <c r="G155" s="8">
        <v>2023</v>
      </c>
      <c r="H155" s="1" t="str">
        <f t="shared" si="4"/>
        <v>Advanced (7-16nm)</v>
      </c>
      <c r="I155" s="1" t="str">
        <f t="shared" si="5"/>
        <v>China</v>
      </c>
    </row>
    <row r="156" spans="1:9">
      <c r="A156" s="8">
        <v>2024</v>
      </c>
      <c r="B156" s="8" t="s">
        <v>123</v>
      </c>
      <c r="C156" s="8" t="s">
        <v>125</v>
      </c>
      <c r="D156" s="8">
        <v>7</v>
      </c>
      <c r="E156" s="8" t="s">
        <v>522</v>
      </c>
      <c r="F156" s="8">
        <v>5084</v>
      </c>
      <c r="G156" s="8">
        <v>2023</v>
      </c>
      <c r="H156" s="1" t="str">
        <f t="shared" si="4"/>
        <v>Advanced (7-16nm)</v>
      </c>
      <c r="I156" s="1" t="str">
        <f t="shared" si="5"/>
        <v>China</v>
      </c>
    </row>
    <row r="157" spans="1:9">
      <c r="A157" s="8">
        <v>2025</v>
      </c>
      <c r="B157" s="8" t="s">
        <v>123</v>
      </c>
      <c r="C157" s="8" t="s">
        <v>125</v>
      </c>
      <c r="D157" s="8">
        <v>7</v>
      </c>
      <c r="E157" s="8" t="s">
        <v>522</v>
      </c>
      <c r="F157" s="8">
        <v>15045</v>
      </c>
      <c r="G157" s="8">
        <v>2023</v>
      </c>
      <c r="H157" s="1" t="str">
        <f t="shared" si="4"/>
        <v>Advanced (7-16nm)</v>
      </c>
      <c r="I157" s="1" t="str">
        <f t="shared" si="5"/>
        <v>China</v>
      </c>
    </row>
    <row r="158" spans="1:9">
      <c r="A158" s="8">
        <v>2026</v>
      </c>
      <c r="B158" s="8" t="s">
        <v>123</v>
      </c>
      <c r="C158" s="8" t="s">
        <v>125</v>
      </c>
      <c r="D158" s="8">
        <v>7</v>
      </c>
      <c r="E158" s="8" t="s">
        <v>522</v>
      </c>
      <c r="F158" s="8">
        <v>15954</v>
      </c>
      <c r="G158" s="8">
        <v>2023</v>
      </c>
      <c r="H158" s="1" t="str">
        <f t="shared" si="4"/>
        <v>Advanced (7-16nm)</v>
      </c>
      <c r="I158" s="1" t="str">
        <f t="shared" si="5"/>
        <v>China</v>
      </c>
    </row>
    <row r="159" spans="1:9">
      <c r="A159" s="8">
        <v>2014</v>
      </c>
      <c r="B159" s="8" t="s">
        <v>119</v>
      </c>
      <c r="C159" s="8" t="s">
        <v>121</v>
      </c>
      <c r="D159" s="8">
        <v>14</v>
      </c>
      <c r="E159" s="8" t="s">
        <v>523</v>
      </c>
      <c r="F159" s="8">
        <v>0</v>
      </c>
      <c r="G159" s="8">
        <v>2014</v>
      </c>
      <c r="H159" s="1" t="str">
        <f t="shared" si="4"/>
        <v>Advanced (7-16nm)</v>
      </c>
      <c r="I159" s="1" t="str">
        <f t="shared" si="5"/>
        <v>USA</v>
      </c>
    </row>
    <row r="160" spans="1:9">
      <c r="A160" s="8">
        <v>2015</v>
      </c>
      <c r="B160" s="8" t="s">
        <v>119</v>
      </c>
      <c r="C160" s="8" t="s">
        <v>121</v>
      </c>
      <c r="D160" s="8">
        <v>14</v>
      </c>
      <c r="E160" s="8" t="s">
        <v>523</v>
      </c>
      <c r="F160" s="8">
        <v>9732</v>
      </c>
      <c r="G160" s="8">
        <v>2014</v>
      </c>
      <c r="H160" s="1" t="str">
        <f t="shared" si="4"/>
        <v>Advanced (7-16nm)</v>
      </c>
      <c r="I160" s="1" t="str">
        <f t="shared" si="5"/>
        <v>USA</v>
      </c>
    </row>
    <row r="161" spans="1:9">
      <c r="A161" s="8">
        <v>2016</v>
      </c>
      <c r="B161" s="8" t="s">
        <v>119</v>
      </c>
      <c r="C161" s="8" t="s">
        <v>121</v>
      </c>
      <c r="D161" s="8">
        <v>14</v>
      </c>
      <c r="E161" s="8" t="s">
        <v>523</v>
      </c>
      <c r="F161" s="8">
        <v>20467</v>
      </c>
      <c r="G161" s="8">
        <v>2014</v>
      </c>
      <c r="H161" s="1" t="str">
        <f t="shared" si="4"/>
        <v>Advanced (7-16nm)</v>
      </c>
      <c r="I161" s="1" t="str">
        <f t="shared" si="5"/>
        <v>USA</v>
      </c>
    </row>
    <row r="162" spans="1:9">
      <c r="A162" s="8">
        <v>2017</v>
      </c>
      <c r="B162" s="8" t="s">
        <v>119</v>
      </c>
      <c r="C162" s="8" t="s">
        <v>121</v>
      </c>
      <c r="D162" s="8">
        <v>14</v>
      </c>
      <c r="E162" s="8" t="s">
        <v>523</v>
      </c>
      <c r="F162" s="8">
        <v>27320</v>
      </c>
      <c r="G162" s="8">
        <v>2014</v>
      </c>
      <c r="H162" s="1" t="str">
        <f t="shared" si="4"/>
        <v>Advanced (7-16nm)</v>
      </c>
      <c r="I162" s="1" t="str">
        <f t="shared" si="5"/>
        <v>USA</v>
      </c>
    </row>
    <row r="163" spans="1:9">
      <c r="A163" s="8">
        <v>2018</v>
      </c>
      <c r="B163" s="8" t="s">
        <v>119</v>
      </c>
      <c r="C163" s="8" t="s">
        <v>121</v>
      </c>
      <c r="D163" s="8">
        <v>14</v>
      </c>
      <c r="E163" s="8" t="s">
        <v>523</v>
      </c>
      <c r="F163" s="8">
        <v>32927</v>
      </c>
      <c r="G163" s="8">
        <v>2014</v>
      </c>
      <c r="H163" s="1" t="str">
        <f t="shared" si="4"/>
        <v>Advanced (7-16nm)</v>
      </c>
      <c r="I163" s="1" t="str">
        <f t="shared" si="5"/>
        <v>USA</v>
      </c>
    </row>
    <row r="164" spans="1:9">
      <c r="A164" s="8">
        <v>2019</v>
      </c>
      <c r="B164" s="8" t="s">
        <v>119</v>
      </c>
      <c r="C164" s="8" t="s">
        <v>121</v>
      </c>
      <c r="D164" s="8">
        <v>14</v>
      </c>
      <c r="E164" s="8" t="s">
        <v>523</v>
      </c>
      <c r="F164" s="8">
        <v>30917</v>
      </c>
      <c r="G164" s="8">
        <v>2014</v>
      </c>
      <c r="H164" s="1" t="str">
        <f t="shared" si="4"/>
        <v>Advanced (7-16nm)</v>
      </c>
      <c r="I164" s="1" t="str">
        <f t="shared" si="5"/>
        <v>USA</v>
      </c>
    </row>
    <row r="165" spans="1:9">
      <c r="A165" s="8">
        <v>2020</v>
      </c>
      <c r="B165" s="8" t="s">
        <v>119</v>
      </c>
      <c r="C165" s="8" t="s">
        <v>121</v>
      </c>
      <c r="D165" s="8">
        <v>14</v>
      </c>
      <c r="E165" s="8" t="s">
        <v>523</v>
      </c>
      <c r="F165" s="8">
        <v>29727</v>
      </c>
      <c r="G165" s="8">
        <v>2014</v>
      </c>
      <c r="H165" s="1" t="str">
        <f t="shared" si="4"/>
        <v>Advanced (7-16nm)</v>
      </c>
      <c r="I165" s="1" t="str">
        <f t="shared" si="5"/>
        <v>USA</v>
      </c>
    </row>
    <row r="166" spans="1:9">
      <c r="A166" s="8">
        <v>2021</v>
      </c>
      <c r="B166" s="8" t="s">
        <v>119</v>
      </c>
      <c r="C166" s="8" t="s">
        <v>121</v>
      </c>
      <c r="D166" s="8">
        <v>14</v>
      </c>
      <c r="E166" s="8" t="s">
        <v>523</v>
      </c>
      <c r="F166" s="8">
        <v>30875</v>
      </c>
      <c r="G166" s="8">
        <v>2014</v>
      </c>
      <c r="H166" s="1" t="str">
        <f t="shared" si="4"/>
        <v>Advanced (7-16nm)</v>
      </c>
      <c r="I166" s="1" t="str">
        <f t="shared" si="5"/>
        <v>USA</v>
      </c>
    </row>
    <row r="167" spans="1:9">
      <c r="A167" s="8">
        <v>2022</v>
      </c>
      <c r="B167" s="8" t="s">
        <v>119</v>
      </c>
      <c r="C167" s="8" t="s">
        <v>121</v>
      </c>
      <c r="D167" s="8">
        <v>14</v>
      </c>
      <c r="E167" s="8" t="s">
        <v>523</v>
      </c>
      <c r="F167" s="8">
        <v>27958</v>
      </c>
      <c r="G167" s="8">
        <v>2014</v>
      </c>
      <c r="H167" s="1" t="str">
        <f t="shared" si="4"/>
        <v>Advanced (7-16nm)</v>
      </c>
      <c r="I167" s="1" t="str">
        <f t="shared" si="5"/>
        <v>USA</v>
      </c>
    </row>
    <row r="168" spans="1:9">
      <c r="A168" s="8">
        <v>2023</v>
      </c>
      <c r="B168" s="8" t="s">
        <v>119</v>
      </c>
      <c r="C168" s="8" t="s">
        <v>121</v>
      </c>
      <c r="D168" s="8">
        <v>14</v>
      </c>
      <c r="E168" s="8" t="s">
        <v>523</v>
      </c>
      <c r="F168" s="8">
        <v>31827</v>
      </c>
      <c r="G168" s="8">
        <v>2014</v>
      </c>
      <c r="H168" s="1" t="str">
        <f t="shared" si="4"/>
        <v>Advanced (7-16nm)</v>
      </c>
      <c r="I168" s="1" t="str">
        <f t="shared" si="5"/>
        <v>USA</v>
      </c>
    </row>
    <row r="169" spans="1:9">
      <c r="A169" s="8">
        <v>2024</v>
      </c>
      <c r="B169" s="8" t="s">
        <v>119</v>
      </c>
      <c r="C169" s="8" t="s">
        <v>121</v>
      </c>
      <c r="D169" s="8">
        <v>14</v>
      </c>
      <c r="E169" s="8" t="s">
        <v>523</v>
      </c>
      <c r="F169" s="8">
        <v>29517</v>
      </c>
      <c r="G169" s="8">
        <v>2014</v>
      </c>
      <c r="H169" s="1" t="str">
        <f t="shared" si="4"/>
        <v>Advanced (7-16nm)</v>
      </c>
      <c r="I169" s="1" t="str">
        <f t="shared" si="5"/>
        <v>USA</v>
      </c>
    </row>
    <row r="170" spans="1:9">
      <c r="A170" s="8">
        <v>2025</v>
      </c>
      <c r="B170" s="8" t="s">
        <v>119</v>
      </c>
      <c r="C170" s="8" t="s">
        <v>121</v>
      </c>
      <c r="D170" s="8">
        <v>14</v>
      </c>
      <c r="E170" s="8" t="s">
        <v>523</v>
      </c>
      <c r="F170" s="8">
        <v>31180</v>
      </c>
      <c r="G170" s="8">
        <v>2014</v>
      </c>
      <c r="H170" s="1" t="str">
        <f t="shared" si="4"/>
        <v>Advanced (7-16nm)</v>
      </c>
      <c r="I170" s="1" t="str">
        <f t="shared" si="5"/>
        <v>USA</v>
      </c>
    </row>
    <row r="171" spans="1:9">
      <c r="A171" s="8">
        <v>2026</v>
      </c>
      <c r="B171" s="8" t="s">
        <v>119</v>
      </c>
      <c r="C171" s="8" t="s">
        <v>121</v>
      </c>
      <c r="D171" s="8">
        <v>14</v>
      </c>
      <c r="E171" s="8" t="s">
        <v>523</v>
      </c>
      <c r="F171" s="8">
        <v>32198</v>
      </c>
      <c r="G171" s="8">
        <v>2014</v>
      </c>
      <c r="H171" s="1" t="str">
        <f t="shared" si="4"/>
        <v>Advanced (7-16nm)</v>
      </c>
      <c r="I171" s="1" t="str">
        <f t="shared" si="5"/>
        <v>USA</v>
      </c>
    </row>
    <row r="172" spans="1:9">
      <c r="A172" s="8">
        <v>2018</v>
      </c>
      <c r="B172" s="8" t="s">
        <v>119</v>
      </c>
      <c r="C172" s="8" t="s">
        <v>155</v>
      </c>
      <c r="D172" s="8">
        <v>22</v>
      </c>
      <c r="E172" s="8" t="s">
        <v>523</v>
      </c>
      <c r="F172" s="8">
        <v>0</v>
      </c>
      <c r="G172" s="8">
        <v>2018</v>
      </c>
      <c r="H172" s="1" t="str">
        <f t="shared" si="4"/>
        <v>Mature (22-28nm)</v>
      </c>
      <c r="I172" s="1" t="str">
        <f t="shared" si="5"/>
        <v>Europe</v>
      </c>
    </row>
    <row r="173" spans="1:9">
      <c r="A173" s="8">
        <v>2019</v>
      </c>
      <c r="B173" s="8" t="s">
        <v>119</v>
      </c>
      <c r="C173" s="8" t="s">
        <v>155</v>
      </c>
      <c r="D173" s="8">
        <v>22</v>
      </c>
      <c r="E173" s="8" t="s">
        <v>523</v>
      </c>
      <c r="F173" s="8">
        <v>17255</v>
      </c>
      <c r="G173" s="8">
        <v>2018</v>
      </c>
      <c r="H173" s="1" t="str">
        <f t="shared" si="4"/>
        <v>Mature (22-28nm)</v>
      </c>
      <c r="I173" s="1" t="str">
        <f t="shared" si="5"/>
        <v>Europe</v>
      </c>
    </row>
    <row r="174" spans="1:9">
      <c r="A174" s="8">
        <v>2020</v>
      </c>
      <c r="B174" s="8" t="s">
        <v>119</v>
      </c>
      <c r="C174" s="8" t="s">
        <v>155</v>
      </c>
      <c r="D174" s="8">
        <v>22</v>
      </c>
      <c r="E174" s="8" t="s">
        <v>523</v>
      </c>
      <c r="F174" s="8">
        <v>33762</v>
      </c>
      <c r="G174" s="8">
        <v>2018</v>
      </c>
      <c r="H174" s="1" t="str">
        <f t="shared" si="4"/>
        <v>Mature (22-28nm)</v>
      </c>
      <c r="I174" s="1" t="str">
        <f t="shared" si="5"/>
        <v>Europe</v>
      </c>
    </row>
    <row r="175" spans="1:9">
      <c r="A175" s="8">
        <v>2021</v>
      </c>
      <c r="B175" s="8" t="s">
        <v>119</v>
      </c>
      <c r="C175" s="8" t="s">
        <v>155</v>
      </c>
      <c r="D175" s="8">
        <v>22</v>
      </c>
      <c r="E175" s="8" t="s">
        <v>523</v>
      </c>
      <c r="F175" s="8">
        <v>51656</v>
      </c>
      <c r="G175" s="8">
        <v>2018</v>
      </c>
      <c r="H175" s="1" t="str">
        <f t="shared" si="4"/>
        <v>Mature (22-28nm)</v>
      </c>
      <c r="I175" s="1" t="str">
        <f t="shared" si="5"/>
        <v>Europe</v>
      </c>
    </row>
    <row r="176" spans="1:9">
      <c r="A176" s="8">
        <v>2022</v>
      </c>
      <c r="B176" s="8" t="s">
        <v>119</v>
      </c>
      <c r="C176" s="8" t="s">
        <v>155</v>
      </c>
      <c r="D176" s="8">
        <v>22</v>
      </c>
      <c r="E176" s="8" t="s">
        <v>523</v>
      </c>
      <c r="F176" s="8">
        <v>49978</v>
      </c>
      <c r="G176" s="8">
        <v>2018</v>
      </c>
      <c r="H176" s="1" t="str">
        <f t="shared" si="4"/>
        <v>Mature (22-28nm)</v>
      </c>
      <c r="I176" s="1" t="str">
        <f t="shared" si="5"/>
        <v>Europe</v>
      </c>
    </row>
    <row r="177" spans="1:9">
      <c r="A177" s="8">
        <v>2023</v>
      </c>
      <c r="B177" s="8" t="s">
        <v>119</v>
      </c>
      <c r="C177" s="8" t="s">
        <v>155</v>
      </c>
      <c r="D177" s="8">
        <v>22</v>
      </c>
      <c r="E177" s="8" t="s">
        <v>523</v>
      </c>
      <c r="F177" s="8">
        <v>51299</v>
      </c>
      <c r="G177" s="8">
        <v>2018</v>
      </c>
      <c r="H177" s="1" t="str">
        <f t="shared" si="4"/>
        <v>Mature (22-28nm)</v>
      </c>
      <c r="I177" s="1" t="str">
        <f t="shared" si="5"/>
        <v>Europe</v>
      </c>
    </row>
    <row r="178" spans="1:9">
      <c r="A178" s="8">
        <v>2024</v>
      </c>
      <c r="B178" s="8" t="s">
        <v>119</v>
      </c>
      <c r="C178" s="8" t="s">
        <v>155</v>
      </c>
      <c r="D178" s="8">
        <v>22</v>
      </c>
      <c r="E178" s="8" t="s">
        <v>523</v>
      </c>
      <c r="F178" s="8">
        <v>48963</v>
      </c>
      <c r="G178" s="8">
        <v>2018</v>
      </c>
      <c r="H178" s="1" t="str">
        <f t="shared" si="4"/>
        <v>Mature (22-28nm)</v>
      </c>
      <c r="I178" s="1" t="str">
        <f t="shared" si="5"/>
        <v>Europe</v>
      </c>
    </row>
    <row r="179" spans="1:9">
      <c r="A179" s="8">
        <v>2025</v>
      </c>
      <c r="B179" s="8" t="s">
        <v>119</v>
      </c>
      <c r="C179" s="8" t="s">
        <v>155</v>
      </c>
      <c r="D179" s="8">
        <v>22</v>
      </c>
      <c r="E179" s="8" t="s">
        <v>523</v>
      </c>
      <c r="F179" s="8">
        <v>58691</v>
      </c>
      <c r="G179" s="8">
        <v>2018</v>
      </c>
      <c r="H179" s="1" t="str">
        <f t="shared" si="4"/>
        <v>Mature (22-28nm)</v>
      </c>
      <c r="I179" s="1" t="str">
        <f t="shared" si="5"/>
        <v>Europe</v>
      </c>
    </row>
    <row r="180" spans="1:9">
      <c r="A180" s="8">
        <v>2026</v>
      </c>
      <c r="B180" s="8" t="s">
        <v>119</v>
      </c>
      <c r="C180" s="8" t="s">
        <v>155</v>
      </c>
      <c r="D180" s="8">
        <v>22</v>
      </c>
      <c r="E180" s="8" t="s">
        <v>523</v>
      </c>
      <c r="F180" s="8">
        <v>50852</v>
      </c>
      <c r="G180" s="8">
        <v>2018</v>
      </c>
      <c r="H180" s="1" t="str">
        <f t="shared" si="4"/>
        <v>Mature (22-28nm)</v>
      </c>
      <c r="I180" s="1" t="str">
        <f t="shared" si="5"/>
        <v>Europe</v>
      </c>
    </row>
    <row r="181" spans="1:9">
      <c r="A181" s="8">
        <v>2020</v>
      </c>
      <c r="B181" s="8" t="s">
        <v>119</v>
      </c>
      <c r="C181" s="8" t="s">
        <v>121</v>
      </c>
      <c r="D181" s="8">
        <v>12</v>
      </c>
      <c r="E181" s="8" t="s">
        <v>523</v>
      </c>
      <c r="F181" s="8">
        <v>0</v>
      </c>
      <c r="G181" s="8">
        <v>2020</v>
      </c>
      <c r="H181" s="1" t="str">
        <f t="shared" si="4"/>
        <v>Advanced (7-16nm)</v>
      </c>
      <c r="I181" s="1" t="str">
        <f t="shared" si="5"/>
        <v>USA</v>
      </c>
    </row>
    <row r="182" spans="1:9">
      <c r="A182" s="8">
        <v>2021</v>
      </c>
      <c r="B182" s="8" t="s">
        <v>119</v>
      </c>
      <c r="C182" s="8" t="s">
        <v>121</v>
      </c>
      <c r="D182" s="8">
        <v>12</v>
      </c>
      <c r="E182" s="8" t="s">
        <v>523</v>
      </c>
      <c r="F182" s="8">
        <v>12492</v>
      </c>
      <c r="G182" s="8">
        <v>2020</v>
      </c>
      <c r="H182" s="1" t="str">
        <f t="shared" si="4"/>
        <v>Advanced (7-16nm)</v>
      </c>
      <c r="I182" s="1" t="str">
        <f t="shared" si="5"/>
        <v>USA</v>
      </c>
    </row>
    <row r="183" spans="1:9">
      <c r="A183" s="8">
        <v>2022</v>
      </c>
      <c r="B183" s="8" t="s">
        <v>119</v>
      </c>
      <c r="C183" s="8" t="s">
        <v>121</v>
      </c>
      <c r="D183" s="8">
        <v>12</v>
      </c>
      <c r="E183" s="8" t="s">
        <v>523</v>
      </c>
      <c r="F183" s="8">
        <v>22360</v>
      </c>
      <c r="G183" s="8">
        <v>2020</v>
      </c>
      <c r="H183" s="1" t="str">
        <f t="shared" si="4"/>
        <v>Advanced (7-16nm)</v>
      </c>
      <c r="I183" s="1" t="str">
        <f t="shared" si="5"/>
        <v>USA</v>
      </c>
    </row>
    <row r="184" spans="1:9">
      <c r="A184" s="8">
        <v>2023</v>
      </c>
      <c r="B184" s="8" t="s">
        <v>119</v>
      </c>
      <c r="C184" s="8" t="s">
        <v>121</v>
      </c>
      <c r="D184" s="8">
        <v>12</v>
      </c>
      <c r="E184" s="8" t="s">
        <v>523</v>
      </c>
      <c r="F184" s="8">
        <v>39126</v>
      </c>
      <c r="G184" s="8">
        <v>2020</v>
      </c>
      <c r="H184" s="1" t="str">
        <f t="shared" si="4"/>
        <v>Advanced (7-16nm)</v>
      </c>
      <c r="I184" s="1" t="str">
        <f t="shared" si="5"/>
        <v>USA</v>
      </c>
    </row>
    <row r="185" spans="1:9">
      <c r="A185" s="8">
        <v>2024</v>
      </c>
      <c r="B185" s="8" t="s">
        <v>119</v>
      </c>
      <c r="C185" s="8" t="s">
        <v>121</v>
      </c>
      <c r="D185" s="8">
        <v>12</v>
      </c>
      <c r="E185" s="8" t="s">
        <v>523</v>
      </c>
      <c r="F185" s="8">
        <v>36786</v>
      </c>
      <c r="G185" s="8">
        <v>2020</v>
      </c>
      <c r="H185" s="1" t="str">
        <f t="shared" si="4"/>
        <v>Advanced (7-16nm)</v>
      </c>
      <c r="I185" s="1" t="str">
        <f t="shared" si="5"/>
        <v>USA</v>
      </c>
    </row>
    <row r="186" spans="1:9">
      <c r="A186" s="8">
        <v>2025</v>
      </c>
      <c r="B186" s="8" t="s">
        <v>119</v>
      </c>
      <c r="C186" s="8" t="s">
        <v>121</v>
      </c>
      <c r="D186" s="8">
        <v>12</v>
      </c>
      <c r="E186" s="8" t="s">
        <v>523</v>
      </c>
      <c r="F186" s="8">
        <v>38578</v>
      </c>
      <c r="G186" s="8">
        <v>2020</v>
      </c>
      <c r="H186" s="1" t="str">
        <f t="shared" si="4"/>
        <v>Advanced (7-16nm)</v>
      </c>
      <c r="I186" s="1" t="str">
        <f t="shared" si="5"/>
        <v>USA</v>
      </c>
    </row>
    <row r="187" spans="1:9">
      <c r="A187" s="8">
        <v>2026</v>
      </c>
      <c r="B187" s="8" t="s">
        <v>119</v>
      </c>
      <c r="C187" s="8" t="s">
        <v>121</v>
      </c>
      <c r="D187" s="8">
        <v>12</v>
      </c>
      <c r="E187" s="8" t="s">
        <v>523</v>
      </c>
      <c r="F187" s="8">
        <v>38553</v>
      </c>
      <c r="G187" s="8">
        <v>2020</v>
      </c>
      <c r="H187" s="1" t="str">
        <f t="shared" si="4"/>
        <v>Advanced (7-16nm)</v>
      </c>
      <c r="I187" s="1" t="str">
        <f t="shared" si="5"/>
        <v>USA</v>
      </c>
    </row>
    <row r="188" spans="1:9">
      <c r="A188" s="8">
        <v>2013</v>
      </c>
      <c r="B188" s="8" t="s">
        <v>122</v>
      </c>
      <c r="C188" s="8" t="s">
        <v>114</v>
      </c>
      <c r="D188" s="8">
        <v>28</v>
      </c>
      <c r="E188" s="8" t="s">
        <v>523</v>
      </c>
      <c r="F188" s="8">
        <v>0</v>
      </c>
      <c r="G188" s="8">
        <v>2013</v>
      </c>
      <c r="H188" s="1" t="str">
        <f t="shared" si="4"/>
        <v>Mature (22-28nm)</v>
      </c>
      <c r="I188" s="1" t="str">
        <f t="shared" si="5"/>
        <v>Taiwan</v>
      </c>
    </row>
    <row r="189" spans="1:9">
      <c r="A189" s="8">
        <v>2014</v>
      </c>
      <c r="B189" s="8" t="s">
        <v>122</v>
      </c>
      <c r="C189" s="8" t="s">
        <v>114</v>
      </c>
      <c r="D189" s="8">
        <v>28</v>
      </c>
      <c r="E189" s="8" t="s">
        <v>523</v>
      </c>
      <c r="F189" s="8">
        <v>32986</v>
      </c>
      <c r="G189" s="8">
        <v>2013</v>
      </c>
      <c r="H189" s="1" t="str">
        <f t="shared" si="4"/>
        <v>Mature (22-28nm)</v>
      </c>
      <c r="I189" s="1" t="str">
        <f t="shared" si="5"/>
        <v>Taiwan</v>
      </c>
    </row>
    <row r="190" spans="1:9">
      <c r="A190" s="8">
        <v>2015</v>
      </c>
      <c r="B190" s="8" t="s">
        <v>122</v>
      </c>
      <c r="C190" s="8" t="s">
        <v>114</v>
      </c>
      <c r="D190" s="8">
        <v>28</v>
      </c>
      <c r="E190" s="8" t="s">
        <v>523</v>
      </c>
      <c r="F190" s="8">
        <v>67981</v>
      </c>
      <c r="G190" s="8">
        <v>2013</v>
      </c>
      <c r="H190" s="1" t="str">
        <f t="shared" si="4"/>
        <v>Mature (22-28nm)</v>
      </c>
      <c r="I190" s="1" t="str">
        <f t="shared" si="5"/>
        <v>Taiwan</v>
      </c>
    </row>
    <row r="191" spans="1:9">
      <c r="A191" s="8">
        <v>2016</v>
      </c>
      <c r="B191" s="8" t="s">
        <v>122</v>
      </c>
      <c r="C191" s="8" t="s">
        <v>114</v>
      </c>
      <c r="D191" s="8">
        <v>28</v>
      </c>
      <c r="E191" s="8" t="s">
        <v>523</v>
      </c>
      <c r="F191" s="8">
        <v>107257</v>
      </c>
      <c r="G191" s="8">
        <v>2013</v>
      </c>
      <c r="H191" s="1" t="str">
        <f t="shared" si="4"/>
        <v>Mature (22-28nm)</v>
      </c>
      <c r="I191" s="1" t="str">
        <f t="shared" si="5"/>
        <v>Taiwan</v>
      </c>
    </row>
    <row r="192" spans="1:9">
      <c r="A192" s="8">
        <v>2017</v>
      </c>
      <c r="B192" s="8" t="s">
        <v>122</v>
      </c>
      <c r="C192" s="8" t="s">
        <v>114</v>
      </c>
      <c r="D192" s="8">
        <v>28</v>
      </c>
      <c r="E192" s="8" t="s">
        <v>523</v>
      </c>
      <c r="F192" s="8">
        <v>100910</v>
      </c>
      <c r="G192" s="8">
        <v>2013</v>
      </c>
      <c r="H192" s="1" t="str">
        <f t="shared" si="4"/>
        <v>Mature (22-28nm)</v>
      </c>
      <c r="I192" s="1" t="str">
        <f t="shared" si="5"/>
        <v>Taiwan</v>
      </c>
    </row>
    <row r="193" spans="1:9">
      <c r="A193" s="8">
        <v>2018</v>
      </c>
      <c r="B193" s="8" t="s">
        <v>122</v>
      </c>
      <c r="C193" s="8" t="s">
        <v>114</v>
      </c>
      <c r="D193" s="8">
        <v>28</v>
      </c>
      <c r="E193" s="8" t="s">
        <v>523</v>
      </c>
      <c r="F193" s="8">
        <v>95545</v>
      </c>
      <c r="G193" s="8">
        <v>2013</v>
      </c>
      <c r="H193" s="1" t="str">
        <f t="shared" si="4"/>
        <v>Mature (22-28nm)</v>
      </c>
      <c r="I193" s="1" t="str">
        <f t="shared" si="5"/>
        <v>Taiwan</v>
      </c>
    </row>
    <row r="194" spans="1:9">
      <c r="A194" s="8">
        <v>2019</v>
      </c>
      <c r="B194" s="8" t="s">
        <v>122</v>
      </c>
      <c r="C194" s="8" t="s">
        <v>114</v>
      </c>
      <c r="D194" s="8">
        <v>28</v>
      </c>
      <c r="E194" s="8" t="s">
        <v>523</v>
      </c>
      <c r="F194" s="8">
        <v>104208</v>
      </c>
      <c r="G194" s="8">
        <v>2013</v>
      </c>
      <c r="H194" s="1" t="str">
        <f t="shared" si="4"/>
        <v>Mature (22-28nm)</v>
      </c>
      <c r="I194" s="1" t="str">
        <f t="shared" si="5"/>
        <v>Taiwan</v>
      </c>
    </row>
    <row r="195" spans="1:9">
      <c r="A195" s="8">
        <v>2020</v>
      </c>
      <c r="B195" s="8" t="s">
        <v>122</v>
      </c>
      <c r="C195" s="8" t="s">
        <v>114</v>
      </c>
      <c r="D195" s="8">
        <v>28</v>
      </c>
      <c r="E195" s="8" t="s">
        <v>523</v>
      </c>
      <c r="F195" s="8">
        <v>104713</v>
      </c>
      <c r="G195" s="8">
        <v>2013</v>
      </c>
      <c r="H195" s="1" t="str">
        <f t="shared" ref="H195:H258" si="6">IF(D195&lt;=5,"Leading Edge (3-5nm)",IF(D195&lt;=16,"Advanced (7-16nm)",IF(D195&lt;=28,"Mature (22-28nm)","Legacy (40nm+)")))</f>
        <v>Mature (22-28nm)</v>
      </c>
      <c r="I195" s="1" t="str">
        <f t="shared" ref="I195:I258" si="7">IF(C195="TWN","Taiwan",IF(C195="KOR","South Korea",IF(C195="USA","USA",IF(C195="CHN","China",IF(C195="JPN","Japan",IF(C195="DEU","Europe",IF(C195="NLD","Europe",IF(C195="ITA","Europe",IF(C195="ISR","Middle East","Other")))))))))</f>
        <v>Taiwan</v>
      </c>
    </row>
    <row r="196" spans="1:9">
      <c r="A196" s="8">
        <v>2021</v>
      </c>
      <c r="B196" s="8" t="s">
        <v>122</v>
      </c>
      <c r="C196" s="8" t="s">
        <v>114</v>
      </c>
      <c r="D196" s="8">
        <v>28</v>
      </c>
      <c r="E196" s="8" t="s">
        <v>523</v>
      </c>
      <c r="F196" s="8">
        <v>103327</v>
      </c>
      <c r="G196" s="8">
        <v>2013</v>
      </c>
      <c r="H196" s="1" t="str">
        <f t="shared" si="6"/>
        <v>Mature (22-28nm)</v>
      </c>
      <c r="I196" s="1" t="str">
        <f t="shared" si="7"/>
        <v>Taiwan</v>
      </c>
    </row>
    <row r="197" spans="1:9">
      <c r="A197" s="8">
        <v>2022</v>
      </c>
      <c r="B197" s="8" t="s">
        <v>122</v>
      </c>
      <c r="C197" s="8" t="s">
        <v>114</v>
      </c>
      <c r="D197" s="8">
        <v>28</v>
      </c>
      <c r="E197" s="8" t="s">
        <v>523</v>
      </c>
      <c r="F197" s="8">
        <v>103797</v>
      </c>
      <c r="G197" s="8">
        <v>2013</v>
      </c>
      <c r="H197" s="1" t="str">
        <f t="shared" si="6"/>
        <v>Mature (22-28nm)</v>
      </c>
      <c r="I197" s="1" t="str">
        <f t="shared" si="7"/>
        <v>Taiwan</v>
      </c>
    </row>
    <row r="198" spans="1:9">
      <c r="A198" s="8">
        <v>2023</v>
      </c>
      <c r="B198" s="8" t="s">
        <v>122</v>
      </c>
      <c r="C198" s="8" t="s">
        <v>114</v>
      </c>
      <c r="D198" s="8">
        <v>28</v>
      </c>
      <c r="E198" s="8" t="s">
        <v>523</v>
      </c>
      <c r="F198" s="8">
        <v>98654</v>
      </c>
      <c r="G198" s="8">
        <v>2013</v>
      </c>
      <c r="H198" s="1" t="str">
        <f t="shared" si="6"/>
        <v>Mature (22-28nm)</v>
      </c>
      <c r="I198" s="1" t="str">
        <f t="shared" si="7"/>
        <v>Taiwan</v>
      </c>
    </row>
    <row r="199" spans="1:9">
      <c r="A199" s="8">
        <v>2024</v>
      </c>
      <c r="B199" s="8" t="s">
        <v>122</v>
      </c>
      <c r="C199" s="8" t="s">
        <v>114</v>
      </c>
      <c r="D199" s="8">
        <v>28</v>
      </c>
      <c r="E199" s="8" t="s">
        <v>523</v>
      </c>
      <c r="F199" s="8">
        <v>95461</v>
      </c>
      <c r="G199" s="8">
        <v>2013</v>
      </c>
      <c r="H199" s="1" t="str">
        <f t="shared" si="6"/>
        <v>Mature (22-28nm)</v>
      </c>
      <c r="I199" s="1" t="str">
        <f t="shared" si="7"/>
        <v>Taiwan</v>
      </c>
    </row>
    <row r="200" spans="1:9">
      <c r="A200" s="8">
        <v>2025</v>
      </c>
      <c r="B200" s="8" t="s">
        <v>122</v>
      </c>
      <c r="C200" s="8" t="s">
        <v>114</v>
      </c>
      <c r="D200" s="8">
        <v>28</v>
      </c>
      <c r="E200" s="8" t="s">
        <v>523</v>
      </c>
      <c r="F200" s="8">
        <v>100539</v>
      </c>
      <c r="G200" s="8">
        <v>2013</v>
      </c>
      <c r="H200" s="1" t="str">
        <f t="shared" si="6"/>
        <v>Mature (22-28nm)</v>
      </c>
      <c r="I200" s="1" t="str">
        <f t="shared" si="7"/>
        <v>Taiwan</v>
      </c>
    </row>
    <row r="201" spans="1:9">
      <c r="A201" s="8">
        <v>2026</v>
      </c>
      <c r="B201" s="8" t="s">
        <v>122</v>
      </c>
      <c r="C201" s="8" t="s">
        <v>114</v>
      </c>
      <c r="D201" s="8">
        <v>28</v>
      </c>
      <c r="E201" s="8" t="s">
        <v>523</v>
      </c>
      <c r="F201" s="8">
        <v>101362</v>
      </c>
      <c r="G201" s="8">
        <v>2013</v>
      </c>
      <c r="H201" s="1" t="str">
        <f t="shared" si="6"/>
        <v>Mature (22-28nm)</v>
      </c>
      <c r="I201" s="1" t="str">
        <f t="shared" si="7"/>
        <v>Taiwan</v>
      </c>
    </row>
    <row r="202" spans="1:9">
      <c r="A202" s="8">
        <v>2017</v>
      </c>
      <c r="B202" s="8" t="s">
        <v>122</v>
      </c>
      <c r="C202" s="8" t="s">
        <v>114</v>
      </c>
      <c r="D202" s="8">
        <v>14</v>
      </c>
      <c r="E202" s="8" t="s">
        <v>523</v>
      </c>
      <c r="F202" s="8">
        <v>0</v>
      </c>
      <c r="G202" s="8">
        <v>2017</v>
      </c>
      <c r="H202" s="1" t="str">
        <f t="shared" si="6"/>
        <v>Advanced (7-16nm)</v>
      </c>
      <c r="I202" s="1" t="str">
        <f t="shared" si="7"/>
        <v>Taiwan</v>
      </c>
    </row>
    <row r="203" spans="1:9">
      <c r="A203" s="8">
        <v>2018</v>
      </c>
      <c r="B203" s="8" t="s">
        <v>122</v>
      </c>
      <c r="C203" s="8" t="s">
        <v>114</v>
      </c>
      <c r="D203" s="8">
        <v>14</v>
      </c>
      <c r="E203" s="8" t="s">
        <v>523</v>
      </c>
      <c r="F203" s="8">
        <v>9958</v>
      </c>
      <c r="G203" s="8">
        <v>2017</v>
      </c>
      <c r="H203" s="1" t="str">
        <f t="shared" si="6"/>
        <v>Advanced (7-16nm)</v>
      </c>
      <c r="I203" s="1" t="str">
        <f t="shared" si="7"/>
        <v>Taiwan</v>
      </c>
    </row>
    <row r="204" spans="1:9">
      <c r="A204" s="8">
        <v>2019</v>
      </c>
      <c r="B204" s="8" t="s">
        <v>122</v>
      </c>
      <c r="C204" s="8" t="s">
        <v>114</v>
      </c>
      <c r="D204" s="8">
        <v>14</v>
      </c>
      <c r="E204" s="8" t="s">
        <v>523</v>
      </c>
      <c r="F204" s="8">
        <v>19564</v>
      </c>
      <c r="G204" s="8">
        <v>2017</v>
      </c>
      <c r="H204" s="1" t="str">
        <f t="shared" si="6"/>
        <v>Advanced (7-16nm)</v>
      </c>
      <c r="I204" s="1" t="str">
        <f t="shared" si="7"/>
        <v>Taiwan</v>
      </c>
    </row>
    <row r="205" spans="1:9">
      <c r="A205" s="8">
        <v>2020</v>
      </c>
      <c r="B205" s="8" t="s">
        <v>122</v>
      </c>
      <c r="C205" s="8" t="s">
        <v>114</v>
      </c>
      <c r="D205" s="8">
        <v>14</v>
      </c>
      <c r="E205" s="8" t="s">
        <v>523</v>
      </c>
      <c r="F205" s="8">
        <v>25878</v>
      </c>
      <c r="G205" s="8">
        <v>2017</v>
      </c>
      <c r="H205" s="1" t="str">
        <f t="shared" si="6"/>
        <v>Advanced (7-16nm)</v>
      </c>
      <c r="I205" s="1" t="str">
        <f t="shared" si="7"/>
        <v>Taiwan</v>
      </c>
    </row>
    <row r="206" spans="1:9">
      <c r="A206" s="8">
        <v>2021</v>
      </c>
      <c r="B206" s="8" t="s">
        <v>122</v>
      </c>
      <c r="C206" s="8" t="s">
        <v>114</v>
      </c>
      <c r="D206" s="8">
        <v>14</v>
      </c>
      <c r="E206" s="8" t="s">
        <v>523</v>
      </c>
      <c r="F206" s="8">
        <v>28186</v>
      </c>
      <c r="G206" s="8">
        <v>2017</v>
      </c>
      <c r="H206" s="1" t="str">
        <f t="shared" si="6"/>
        <v>Advanced (7-16nm)</v>
      </c>
      <c r="I206" s="1" t="str">
        <f t="shared" si="7"/>
        <v>Taiwan</v>
      </c>
    </row>
    <row r="207" spans="1:9">
      <c r="A207" s="8">
        <v>2022</v>
      </c>
      <c r="B207" s="8" t="s">
        <v>122</v>
      </c>
      <c r="C207" s="8" t="s">
        <v>114</v>
      </c>
      <c r="D207" s="8">
        <v>14</v>
      </c>
      <c r="E207" s="8" t="s">
        <v>523</v>
      </c>
      <c r="F207" s="8">
        <v>31729</v>
      </c>
      <c r="G207" s="8">
        <v>2017</v>
      </c>
      <c r="H207" s="1" t="str">
        <f t="shared" si="6"/>
        <v>Advanced (7-16nm)</v>
      </c>
      <c r="I207" s="1" t="str">
        <f t="shared" si="7"/>
        <v>Taiwan</v>
      </c>
    </row>
    <row r="208" spans="1:9">
      <c r="A208" s="8">
        <v>2023</v>
      </c>
      <c r="B208" s="8" t="s">
        <v>122</v>
      </c>
      <c r="C208" s="8" t="s">
        <v>114</v>
      </c>
      <c r="D208" s="8">
        <v>14</v>
      </c>
      <c r="E208" s="8" t="s">
        <v>523</v>
      </c>
      <c r="F208" s="8">
        <v>29019</v>
      </c>
      <c r="G208" s="8">
        <v>2017</v>
      </c>
      <c r="H208" s="1" t="str">
        <f t="shared" si="6"/>
        <v>Advanced (7-16nm)</v>
      </c>
      <c r="I208" s="1" t="str">
        <f t="shared" si="7"/>
        <v>Taiwan</v>
      </c>
    </row>
    <row r="209" spans="1:9">
      <c r="A209" s="8">
        <v>2024</v>
      </c>
      <c r="B209" s="8" t="s">
        <v>122</v>
      </c>
      <c r="C209" s="8" t="s">
        <v>114</v>
      </c>
      <c r="D209" s="8">
        <v>14</v>
      </c>
      <c r="E209" s="8" t="s">
        <v>523</v>
      </c>
      <c r="F209" s="8">
        <v>30545</v>
      </c>
      <c r="G209" s="8">
        <v>2017</v>
      </c>
      <c r="H209" s="1" t="str">
        <f t="shared" si="6"/>
        <v>Advanced (7-16nm)</v>
      </c>
      <c r="I209" s="1" t="str">
        <f t="shared" si="7"/>
        <v>Taiwan</v>
      </c>
    </row>
    <row r="210" spans="1:9">
      <c r="A210" s="8">
        <v>2025</v>
      </c>
      <c r="B210" s="8" t="s">
        <v>122</v>
      </c>
      <c r="C210" s="8" t="s">
        <v>114</v>
      </c>
      <c r="D210" s="8">
        <v>14</v>
      </c>
      <c r="E210" s="8" t="s">
        <v>523</v>
      </c>
      <c r="F210" s="8">
        <v>29384</v>
      </c>
      <c r="G210" s="8">
        <v>2017</v>
      </c>
      <c r="H210" s="1" t="str">
        <f t="shared" si="6"/>
        <v>Advanced (7-16nm)</v>
      </c>
      <c r="I210" s="1" t="str">
        <f t="shared" si="7"/>
        <v>Taiwan</v>
      </c>
    </row>
    <row r="211" spans="1:9">
      <c r="A211" s="8">
        <v>2026</v>
      </c>
      <c r="B211" s="8" t="s">
        <v>122</v>
      </c>
      <c r="C211" s="8" t="s">
        <v>114</v>
      </c>
      <c r="D211" s="8">
        <v>14</v>
      </c>
      <c r="E211" s="8" t="s">
        <v>523</v>
      </c>
      <c r="F211" s="8">
        <v>35461</v>
      </c>
      <c r="G211" s="8">
        <v>2017</v>
      </c>
      <c r="H211" s="1" t="str">
        <f t="shared" si="6"/>
        <v>Advanced (7-16nm)</v>
      </c>
      <c r="I211" s="1" t="str">
        <f t="shared" si="7"/>
        <v>Taiwan</v>
      </c>
    </row>
    <row r="212" spans="1:9">
      <c r="A212" s="8">
        <v>2018</v>
      </c>
      <c r="B212" s="8" t="s">
        <v>142</v>
      </c>
      <c r="C212" s="8" t="s">
        <v>118</v>
      </c>
      <c r="D212" s="8">
        <v>14</v>
      </c>
      <c r="E212" s="8" t="s">
        <v>526</v>
      </c>
      <c r="F212" s="8">
        <v>0</v>
      </c>
      <c r="G212" s="8">
        <v>2018</v>
      </c>
      <c r="H212" s="1" t="str">
        <f t="shared" si="6"/>
        <v>Advanced (7-16nm)</v>
      </c>
      <c r="I212" s="1" t="str">
        <f t="shared" si="7"/>
        <v>South Korea</v>
      </c>
    </row>
    <row r="213" spans="1:9">
      <c r="A213" s="8">
        <v>2019</v>
      </c>
      <c r="B213" s="8" t="s">
        <v>142</v>
      </c>
      <c r="C213" s="8" t="s">
        <v>118</v>
      </c>
      <c r="D213" s="8">
        <v>14</v>
      </c>
      <c r="E213" s="8" t="s">
        <v>526</v>
      </c>
      <c r="F213" s="8">
        <v>270562</v>
      </c>
      <c r="G213" s="8">
        <v>2018</v>
      </c>
      <c r="H213" s="1" t="str">
        <f t="shared" si="6"/>
        <v>Advanced (7-16nm)</v>
      </c>
      <c r="I213" s="1" t="str">
        <f t="shared" si="7"/>
        <v>South Korea</v>
      </c>
    </row>
    <row r="214" spans="1:9">
      <c r="A214" s="8">
        <v>2020</v>
      </c>
      <c r="B214" s="8" t="s">
        <v>142</v>
      </c>
      <c r="C214" s="8" t="s">
        <v>118</v>
      </c>
      <c r="D214" s="8">
        <v>14</v>
      </c>
      <c r="E214" s="8" t="s">
        <v>526</v>
      </c>
      <c r="F214" s="8">
        <v>599104</v>
      </c>
      <c r="G214" s="8">
        <v>2018</v>
      </c>
      <c r="H214" s="1" t="str">
        <f t="shared" si="6"/>
        <v>Advanced (7-16nm)</v>
      </c>
      <c r="I214" s="1" t="str">
        <f t="shared" si="7"/>
        <v>South Korea</v>
      </c>
    </row>
    <row r="215" spans="1:9">
      <c r="A215" s="8">
        <v>2021</v>
      </c>
      <c r="B215" s="8" t="s">
        <v>142</v>
      </c>
      <c r="C215" s="8" t="s">
        <v>118</v>
      </c>
      <c r="D215" s="8">
        <v>14</v>
      </c>
      <c r="E215" s="8" t="s">
        <v>526</v>
      </c>
      <c r="F215" s="8">
        <v>863016</v>
      </c>
      <c r="G215" s="8">
        <v>2018</v>
      </c>
      <c r="H215" s="1" t="str">
        <f t="shared" si="6"/>
        <v>Advanced (7-16nm)</v>
      </c>
      <c r="I215" s="1" t="str">
        <f t="shared" si="7"/>
        <v>South Korea</v>
      </c>
    </row>
    <row r="216" spans="1:9">
      <c r="A216" s="8">
        <v>2022</v>
      </c>
      <c r="B216" s="8" t="s">
        <v>142</v>
      </c>
      <c r="C216" s="8" t="s">
        <v>118</v>
      </c>
      <c r="D216" s="8">
        <v>14</v>
      </c>
      <c r="E216" s="8" t="s">
        <v>526</v>
      </c>
      <c r="F216" s="8">
        <v>787830</v>
      </c>
      <c r="G216" s="8">
        <v>2018</v>
      </c>
      <c r="H216" s="1" t="str">
        <f t="shared" si="6"/>
        <v>Advanced (7-16nm)</v>
      </c>
      <c r="I216" s="1" t="str">
        <f t="shared" si="7"/>
        <v>South Korea</v>
      </c>
    </row>
    <row r="217" spans="1:9">
      <c r="A217" s="8">
        <v>2023</v>
      </c>
      <c r="B217" s="8" t="s">
        <v>142</v>
      </c>
      <c r="C217" s="8" t="s">
        <v>118</v>
      </c>
      <c r="D217" s="8">
        <v>14</v>
      </c>
      <c r="E217" s="8" t="s">
        <v>526</v>
      </c>
      <c r="F217" s="8">
        <v>776619</v>
      </c>
      <c r="G217" s="8">
        <v>2018</v>
      </c>
      <c r="H217" s="1" t="str">
        <f t="shared" si="6"/>
        <v>Advanced (7-16nm)</v>
      </c>
      <c r="I217" s="1" t="str">
        <f t="shared" si="7"/>
        <v>South Korea</v>
      </c>
    </row>
    <row r="218" spans="1:9">
      <c r="A218" s="8">
        <v>2024</v>
      </c>
      <c r="B218" s="8" t="s">
        <v>142</v>
      </c>
      <c r="C218" s="8" t="s">
        <v>118</v>
      </c>
      <c r="D218" s="8">
        <v>14</v>
      </c>
      <c r="E218" s="8" t="s">
        <v>526</v>
      </c>
      <c r="F218" s="8">
        <v>787083</v>
      </c>
      <c r="G218" s="8">
        <v>2018</v>
      </c>
      <c r="H218" s="1" t="str">
        <f t="shared" si="6"/>
        <v>Advanced (7-16nm)</v>
      </c>
      <c r="I218" s="1" t="str">
        <f t="shared" si="7"/>
        <v>South Korea</v>
      </c>
    </row>
    <row r="219" spans="1:9">
      <c r="A219" s="8">
        <v>2025</v>
      </c>
      <c r="B219" s="8" t="s">
        <v>142</v>
      </c>
      <c r="C219" s="8" t="s">
        <v>118</v>
      </c>
      <c r="D219" s="8">
        <v>14</v>
      </c>
      <c r="E219" s="8" t="s">
        <v>526</v>
      </c>
      <c r="F219" s="8">
        <v>861691</v>
      </c>
      <c r="G219" s="8">
        <v>2018</v>
      </c>
      <c r="H219" s="1" t="str">
        <f t="shared" si="6"/>
        <v>Advanced (7-16nm)</v>
      </c>
      <c r="I219" s="1" t="str">
        <f t="shared" si="7"/>
        <v>South Korea</v>
      </c>
    </row>
    <row r="220" spans="1:9">
      <c r="A220" s="8">
        <v>2026</v>
      </c>
      <c r="B220" s="8" t="s">
        <v>142</v>
      </c>
      <c r="C220" s="8" t="s">
        <v>118</v>
      </c>
      <c r="D220" s="8">
        <v>14</v>
      </c>
      <c r="E220" s="8" t="s">
        <v>526</v>
      </c>
      <c r="F220" s="8">
        <v>875382</v>
      </c>
      <c r="G220" s="8">
        <v>2018</v>
      </c>
      <c r="H220" s="1" t="str">
        <f t="shared" si="6"/>
        <v>Advanced (7-16nm)</v>
      </c>
      <c r="I220" s="1" t="str">
        <f t="shared" si="7"/>
        <v>South Korea</v>
      </c>
    </row>
    <row r="221" spans="1:9">
      <c r="A221" s="8">
        <v>2024</v>
      </c>
      <c r="B221" s="8" t="s">
        <v>142</v>
      </c>
      <c r="C221" s="8" t="s">
        <v>121</v>
      </c>
      <c r="D221" s="8">
        <v>17</v>
      </c>
      <c r="E221" s="8" t="s">
        <v>526</v>
      </c>
      <c r="F221" s="8">
        <v>0</v>
      </c>
      <c r="G221" s="8">
        <v>2024</v>
      </c>
      <c r="H221" s="1" t="str">
        <f t="shared" si="6"/>
        <v>Mature (22-28nm)</v>
      </c>
      <c r="I221" s="1" t="str">
        <f t="shared" si="7"/>
        <v>USA</v>
      </c>
    </row>
    <row r="222" spans="1:9">
      <c r="A222" s="8">
        <v>2025</v>
      </c>
      <c r="B222" s="8" t="s">
        <v>142</v>
      </c>
      <c r="C222" s="8" t="s">
        <v>121</v>
      </c>
      <c r="D222" s="8">
        <v>17</v>
      </c>
      <c r="E222" s="8" t="s">
        <v>526</v>
      </c>
      <c r="F222" s="8">
        <v>112992</v>
      </c>
      <c r="G222" s="8">
        <v>2024</v>
      </c>
      <c r="H222" s="1" t="str">
        <f t="shared" si="6"/>
        <v>Mature (22-28nm)</v>
      </c>
      <c r="I222" s="1" t="str">
        <f t="shared" si="7"/>
        <v>USA</v>
      </c>
    </row>
    <row r="223" spans="1:9">
      <c r="A223" s="8">
        <v>2026</v>
      </c>
      <c r="B223" s="8" t="s">
        <v>142</v>
      </c>
      <c r="C223" s="8" t="s">
        <v>121</v>
      </c>
      <c r="D223" s="8">
        <v>17</v>
      </c>
      <c r="E223" s="8" t="s">
        <v>526</v>
      </c>
      <c r="F223" s="8">
        <v>109373</v>
      </c>
      <c r="G223" s="8">
        <v>2024</v>
      </c>
      <c r="H223" s="1" t="str">
        <f t="shared" si="6"/>
        <v>Mature (22-28nm)</v>
      </c>
      <c r="I223" s="1" t="str">
        <f t="shared" si="7"/>
        <v>USA</v>
      </c>
    </row>
    <row r="224" spans="1:9">
      <c r="A224" s="8">
        <v>2019</v>
      </c>
      <c r="B224" s="8" t="s">
        <v>144</v>
      </c>
      <c r="C224" s="8" t="s">
        <v>118</v>
      </c>
      <c r="D224" s="8">
        <v>14</v>
      </c>
      <c r="E224" s="8" t="s">
        <v>526</v>
      </c>
      <c r="F224" s="8">
        <v>0</v>
      </c>
      <c r="G224" s="8">
        <v>2019</v>
      </c>
      <c r="H224" s="1" t="str">
        <f t="shared" si="6"/>
        <v>Advanced (7-16nm)</v>
      </c>
      <c r="I224" s="1" t="str">
        <f t="shared" si="7"/>
        <v>South Korea</v>
      </c>
    </row>
    <row r="225" spans="1:9">
      <c r="A225" s="8">
        <v>2020</v>
      </c>
      <c r="B225" s="8" t="s">
        <v>144</v>
      </c>
      <c r="C225" s="8" t="s">
        <v>118</v>
      </c>
      <c r="D225" s="8">
        <v>14</v>
      </c>
      <c r="E225" s="8" t="s">
        <v>526</v>
      </c>
      <c r="F225" s="8">
        <v>200909</v>
      </c>
      <c r="G225" s="8">
        <v>2019</v>
      </c>
      <c r="H225" s="1" t="str">
        <f t="shared" si="6"/>
        <v>Advanced (7-16nm)</v>
      </c>
      <c r="I225" s="1" t="str">
        <f t="shared" si="7"/>
        <v>South Korea</v>
      </c>
    </row>
    <row r="226" spans="1:9">
      <c r="A226" s="8">
        <v>2021</v>
      </c>
      <c r="B226" s="8" t="s">
        <v>144</v>
      </c>
      <c r="C226" s="8" t="s">
        <v>118</v>
      </c>
      <c r="D226" s="8">
        <v>14</v>
      </c>
      <c r="E226" s="8" t="s">
        <v>526</v>
      </c>
      <c r="F226" s="8">
        <v>437348</v>
      </c>
      <c r="G226" s="8">
        <v>2019</v>
      </c>
      <c r="H226" s="1" t="str">
        <f t="shared" si="6"/>
        <v>Advanced (7-16nm)</v>
      </c>
      <c r="I226" s="1" t="str">
        <f t="shared" si="7"/>
        <v>South Korea</v>
      </c>
    </row>
    <row r="227" spans="1:9">
      <c r="A227" s="8">
        <v>2022</v>
      </c>
      <c r="B227" s="8" t="s">
        <v>144</v>
      </c>
      <c r="C227" s="8" t="s">
        <v>118</v>
      </c>
      <c r="D227" s="8">
        <v>14</v>
      </c>
      <c r="E227" s="8" t="s">
        <v>526</v>
      </c>
      <c r="F227" s="8">
        <v>610815</v>
      </c>
      <c r="G227" s="8">
        <v>2019</v>
      </c>
      <c r="H227" s="1" t="str">
        <f t="shared" si="6"/>
        <v>Advanced (7-16nm)</v>
      </c>
      <c r="I227" s="1" t="str">
        <f t="shared" si="7"/>
        <v>South Korea</v>
      </c>
    </row>
    <row r="228" spans="1:9">
      <c r="A228" s="8">
        <v>2023</v>
      </c>
      <c r="B228" s="8" t="s">
        <v>144</v>
      </c>
      <c r="C228" s="8" t="s">
        <v>118</v>
      </c>
      <c r="D228" s="8">
        <v>14</v>
      </c>
      <c r="E228" s="8" t="s">
        <v>526</v>
      </c>
      <c r="F228" s="8">
        <v>629595</v>
      </c>
      <c r="G228" s="8">
        <v>2019</v>
      </c>
      <c r="H228" s="1" t="str">
        <f t="shared" si="6"/>
        <v>Advanced (7-16nm)</v>
      </c>
      <c r="I228" s="1" t="str">
        <f t="shared" si="7"/>
        <v>South Korea</v>
      </c>
    </row>
    <row r="229" spans="1:9">
      <c r="A229" s="8">
        <v>2024</v>
      </c>
      <c r="B229" s="8" t="s">
        <v>144</v>
      </c>
      <c r="C229" s="8" t="s">
        <v>118</v>
      </c>
      <c r="D229" s="8">
        <v>14</v>
      </c>
      <c r="E229" s="8" t="s">
        <v>526</v>
      </c>
      <c r="F229" s="8">
        <v>578650</v>
      </c>
      <c r="G229" s="8">
        <v>2019</v>
      </c>
      <c r="H229" s="1" t="str">
        <f t="shared" si="6"/>
        <v>Advanced (7-16nm)</v>
      </c>
      <c r="I229" s="1" t="str">
        <f t="shared" si="7"/>
        <v>South Korea</v>
      </c>
    </row>
    <row r="230" spans="1:9">
      <c r="A230" s="8">
        <v>2025</v>
      </c>
      <c r="B230" s="8" t="s">
        <v>144</v>
      </c>
      <c r="C230" s="8" t="s">
        <v>118</v>
      </c>
      <c r="D230" s="8">
        <v>14</v>
      </c>
      <c r="E230" s="8" t="s">
        <v>526</v>
      </c>
      <c r="F230" s="8">
        <v>603672</v>
      </c>
      <c r="G230" s="8">
        <v>2019</v>
      </c>
      <c r="H230" s="1" t="str">
        <f t="shared" si="6"/>
        <v>Advanced (7-16nm)</v>
      </c>
      <c r="I230" s="1" t="str">
        <f t="shared" si="7"/>
        <v>South Korea</v>
      </c>
    </row>
    <row r="231" spans="1:9">
      <c r="A231" s="8">
        <v>2026</v>
      </c>
      <c r="B231" s="8" t="s">
        <v>144</v>
      </c>
      <c r="C231" s="8" t="s">
        <v>118</v>
      </c>
      <c r="D231" s="8">
        <v>14</v>
      </c>
      <c r="E231" s="8" t="s">
        <v>526</v>
      </c>
      <c r="F231" s="8">
        <v>675345</v>
      </c>
      <c r="G231" s="8">
        <v>2019</v>
      </c>
      <c r="H231" s="1" t="str">
        <f t="shared" si="6"/>
        <v>Advanced (7-16nm)</v>
      </c>
      <c r="I231" s="1" t="str">
        <f t="shared" si="7"/>
        <v>South Korea</v>
      </c>
    </row>
    <row r="232" spans="1:9">
      <c r="A232" s="8">
        <v>2026</v>
      </c>
      <c r="B232" s="8" t="s">
        <v>144</v>
      </c>
      <c r="C232" s="8" t="s">
        <v>121</v>
      </c>
      <c r="D232" s="8">
        <v>12</v>
      </c>
      <c r="E232" s="8" t="s">
        <v>527</v>
      </c>
      <c r="F232" s="8">
        <v>69344</v>
      </c>
      <c r="G232" s="8">
        <v>2026</v>
      </c>
      <c r="H232" s="1" t="str">
        <f t="shared" si="6"/>
        <v>Advanced (7-16nm)</v>
      </c>
      <c r="I232" s="1" t="str">
        <f t="shared" si="7"/>
        <v>USA</v>
      </c>
    </row>
    <row r="233" spans="1:9">
      <c r="A233" s="8">
        <v>2020</v>
      </c>
      <c r="B233" s="8" t="s">
        <v>146</v>
      </c>
      <c r="C233" s="8" t="s">
        <v>121</v>
      </c>
      <c r="D233" s="8">
        <v>14</v>
      </c>
      <c r="E233" s="8" t="s">
        <v>526</v>
      </c>
      <c r="F233" s="8">
        <v>0</v>
      </c>
      <c r="G233" s="8">
        <v>2020</v>
      </c>
      <c r="H233" s="1" t="str">
        <f t="shared" si="6"/>
        <v>Advanced (7-16nm)</v>
      </c>
      <c r="I233" s="1" t="str">
        <f t="shared" si="7"/>
        <v>USA</v>
      </c>
    </row>
    <row r="234" spans="1:9">
      <c r="A234" s="8">
        <v>2021</v>
      </c>
      <c r="B234" s="8" t="s">
        <v>146</v>
      </c>
      <c r="C234" s="8" t="s">
        <v>121</v>
      </c>
      <c r="D234" s="8">
        <v>14</v>
      </c>
      <c r="E234" s="8" t="s">
        <v>526</v>
      </c>
      <c r="F234" s="8">
        <v>93770</v>
      </c>
      <c r="G234" s="8">
        <v>2020</v>
      </c>
      <c r="H234" s="1" t="str">
        <f t="shared" si="6"/>
        <v>Advanced (7-16nm)</v>
      </c>
      <c r="I234" s="1" t="str">
        <f t="shared" si="7"/>
        <v>USA</v>
      </c>
    </row>
    <row r="235" spans="1:9">
      <c r="A235" s="8">
        <v>2022</v>
      </c>
      <c r="B235" s="8" t="s">
        <v>146</v>
      </c>
      <c r="C235" s="8" t="s">
        <v>121</v>
      </c>
      <c r="D235" s="8">
        <v>14</v>
      </c>
      <c r="E235" s="8" t="s">
        <v>526</v>
      </c>
      <c r="F235" s="8">
        <v>186849</v>
      </c>
      <c r="G235" s="8">
        <v>2020</v>
      </c>
      <c r="H235" s="1" t="str">
        <f t="shared" si="6"/>
        <v>Advanced (7-16nm)</v>
      </c>
      <c r="I235" s="1" t="str">
        <f t="shared" si="7"/>
        <v>USA</v>
      </c>
    </row>
    <row r="236" spans="1:9">
      <c r="A236" s="8">
        <v>2023</v>
      </c>
      <c r="B236" s="8" t="s">
        <v>146</v>
      </c>
      <c r="C236" s="8" t="s">
        <v>121</v>
      </c>
      <c r="D236" s="8">
        <v>14</v>
      </c>
      <c r="E236" s="8" t="s">
        <v>526</v>
      </c>
      <c r="F236" s="8">
        <v>279338</v>
      </c>
      <c r="G236" s="8">
        <v>2020</v>
      </c>
      <c r="H236" s="1" t="str">
        <f t="shared" si="6"/>
        <v>Advanced (7-16nm)</v>
      </c>
      <c r="I236" s="1" t="str">
        <f t="shared" si="7"/>
        <v>USA</v>
      </c>
    </row>
    <row r="237" spans="1:9">
      <c r="A237" s="8">
        <v>2024</v>
      </c>
      <c r="B237" s="8" t="s">
        <v>146</v>
      </c>
      <c r="C237" s="8" t="s">
        <v>121</v>
      </c>
      <c r="D237" s="8">
        <v>14</v>
      </c>
      <c r="E237" s="8" t="s">
        <v>526</v>
      </c>
      <c r="F237" s="8">
        <v>274623</v>
      </c>
      <c r="G237" s="8">
        <v>2020</v>
      </c>
      <c r="H237" s="1" t="str">
        <f t="shared" si="6"/>
        <v>Advanced (7-16nm)</v>
      </c>
      <c r="I237" s="1" t="str">
        <f t="shared" si="7"/>
        <v>USA</v>
      </c>
    </row>
    <row r="238" spans="1:9">
      <c r="A238" s="8">
        <v>2025</v>
      </c>
      <c r="B238" s="8" t="s">
        <v>146</v>
      </c>
      <c r="C238" s="8" t="s">
        <v>121</v>
      </c>
      <c r="D238" s="8">
        <v>14</v>
      </c>
      <c r="E238" s="8" t="s">
        <v>526</v>
      </c>
      <c r="F238" s="8">
        <v>316729</v>
      </c>
      <c r="G238" s="8">
        <v>2020</v>
      </c>
      <c r="H238" s="1" t="str">
        <f t="shared" si="6"/>
        <v>Advanced (7-16nm)</v>
      </c>
      <c r="I238" s="1" t="str">
        <f t="shared" si="7"/>
        <v>USA</v>
      </c>
    </row>
    <row r="239" spans="1:9">
      <c r="A239" s="8">
        <v>2026</v>
      </c>
      <c r="B239" s="8" t="s">
        <v>146</v>
      </c>
      <c r="C239" s="8" t="s">
        <v>121</v>
      </c>
      <c r="D239" s="8">
        <v>14</v>
      </c>
      <c r="E239" s="8" t="s">
        <v>526</v>
      </c>
      <c r="F239" s="8">
        <v>349095</v>
      </c>
      <c r="G239" s="8">
        <v>2020</v>
      </c>
      <c r="H239" s="1" t="str">
        <f t="shared" si="6"/>
        <v>Advanced (7-16nm)</v>
      </c>
      <c r="I239" s="1" t="str">
        <f t="shared" si="7"/>
        <v>USA</v>
      </c>
    </row>
    <row r="240" spans="1:9">
      <c r="A240" s="8">
        <v>2018</v>
      </c>
      <c r="B240" s="8" t="s">
        <v>146</v>
      </c>
      <c r="C240" s="8" t="s">
        <v>114</v>
      </c>
      <c r="D240" s="8">
        <v>14</v>
      </c>
      <c r="E240" s="8" t="s">
        <v>526</v>
      </c>
      <c r="F240" s="8">
        <v>0</v>
      </c>
      <c r="G240" s="8">
        <v>2018</v>
      </c>
      <c r="H240" s="1" t="str">
        <f t="shared" si="6"/>
        <v>Advanced (7-16nm)</v>
      </c>
      <c r="I240" s="1" t="str">
        <f t="shared" si="7"/>
        <v>Taiwan</v>
      </c>
    </row>
    <row r="241" spans="1:9">
      <c r="A241" s="8">
        <v>2019</v>
      </c>
      <c r="B241" s="8" t="s">
        <v>146</v>
      </c>
      <c r="C241" s="8" t="s">
        <v>114</v>
      </c>
      <c r="D241" s="8">
        <v>14</v>
      </c>
      <c r="E241" s="8" t="s">
        <v>526</v>
      </c>
      <c r="F241" s="8">
        <v>59542</v>
      </c>
      <c r="G241" s="8">
        <v>2018</v>
      </c>
      <c r="H241" s="1" t="str">
        <f t="shared" si="6"/>
        <v>Advanced (7-16nm)</v>
      </c>
      <c r="I241" s="1" t="str">
        <f t="shared" si="7"/>
        <v>Taiwan</v>
      </c>
    </row>
    <row r="242" spans="1:9">
      <c r="A242" s="8">
        <v>2020</v>
      </c>
      <c r="B242" s="8" t="s">
        <v>146</v>
      </c>
      <c r="C242" s="8" t="s">
        <v>114</v>
      </c>
      <c r="D242" s="8">
        <v>14</v>
      </c>
      <c r="E242" s="8" t="s">
        <v>526</v>
      </c>
      <c r="F242" s="8">
        <v>132067</v>
      </c>
      <c r="G242" s="8">
        <v>2018</v>
      </c>
      <c r="H242" s="1" t="str">
        <f t="shared" si="6"/>
        <v>Advanced (7-16nm)</v>
      </c>
      <c r="I242" s="1" t="str">
        <f t="shared" si="7"/>
        <v>Taiwan</v>
      </c>
    </row>
    <row r="243" spans="1:9">
      <c r="A243" s="8">
        <v>2021</v>
      </c>
      <c r="B243" s="8" t="s">
        <v>146</v>
      </c>
      <c r="C243" s="8" t="s">
        <v>114</v>
      </c>
      <c r="D243" s="8">
        <v>14</v>
      </c>
      <c r="E243" s="8" t="s">
        <v>526</v>
      </c>
      <c r="F243" s="8">
        <v>198378</v>
      </c>
      <c r="G243" s="8">
        <v>2018</v>
      </c>
      <c r="H243" s="1" t="str">
        <f t="shared" si="6"/>
        <v>Advanced (7-16nm)</v>
      </c>
      <c r="I243" s="1" t="str">
        <f t="shared" si="7"/>
        <v>Taiwan</v>
      </c>
    </row>
    <row r="244" spans="1:9">
      <c r="A244" s="8">
        <v>2022</v>
      </c>
      <c r="B244" s="8" t="s">
        <v>146</v>
      </c>
      <c r="C244" s="8" t="s">
        <v>114</v>
      </c>
      <c r="D244" s="8">
        <v>14</v>
      </c>
      <c r="E244" s="8" t="s">
        <v>526</v>
      </c>
      <c r="F244" s="8">
        <v>222097</v>
      </c>
      <c r="G244" s="8">
        <v>2018</v>
      </c>
      <c r="H244" s="1" t="str">
        <f t="shared" si="6"/>
        <v>Advanced (7-16nm)</v>
      </c>
      <c r="I244" s="1" t="str">
        <f t="shared" si="7"/>
        <v>Taiwan</v>
      </c>
    </row>
    <row r="245" spans="1:9">
      <c r="A245" s="8">
        <v>2023</v>
      </c>
      <c r="B245" s="8" t="s">
        <v>146</v>
      </c>
      <c r="C245" s="8" t="s">
        <v>114</v>
      </c>
      <c r="D245" s="8">
        <v>14</v>
      </c>
      <c r="E245" s="8" t="s">
        <v>526</v>
      </c>
      <c r="F245" s="8">
        <v>185946</v>
      </c>
      <c r="G245" s="8">
        <v>2018</v>
      </c>
      <c r="H245" s="1" t="str">
        <f t="shared" si="6"/>
        <v>Advanced (7-16nm)</v>
      </c>
      <c r="I245" s="1" t="str">
        <f t="shared" si="7"/>
        <v>Taiwan</v>
      </c>
    </row>
    <row r="246" spans="1:9">
      <c r="A246" s="8">
        <v>2024</v>
      </c>
      <c r="B246" s="8" t="s">
        <v>146</v>
      </c>
      <c r="C246" s="8" t="s">
        <v>114</v>
      </c>
      <c r="D246" s="8">
        <v>14</v>
      </c>
      <c r="E246" s="8" t="s">
        <v>526</v>
      </c>
      <c r="F246" s="8">
        <v>196131</v>
      </c>
      <c r="G246" s="8">
        <v>2018</v>
      </c>
      <c r="H246" s="1" t="str">
        <f t="shared" si="6"/>
        <v>Advanced (7-16nm)</v>
      </c>
      <c r="I246" s="1" t="str">
        <f t="shared" si="7"/>
        <v>Taiwan</v>
      </c>
    </row>
    <row r="247" spans="1:9">
      <c r="A247" s="8">
        <v>2025</v>
      </c>
      <c r="B247" s="8" t="s">
        <v>146</v>
      </c>
      <c r="C247" s="8" t="s">
        <v>114</v>
      </c>
      <c r="D247" s="8">
        <v>14</v>
      </c>
      <c r="E247" s="8" t="s">
        <v>526</v>
      </c>
      <c r="F247" s="8">
        <v>228697</v>
      </c>
      <c r="G247" s="8">
        <v>2018</v>
      </c>
      <c r="H247" s="1" t="str">
        <f t="shared" si="6"/>
        <v>Advanced (7-16nm)</v>
      </c>
      <c r="I247" s="1" t="str">
        <f t="shared" si="7"/>
        <v>Taiwan</v>
      </c>
    </row>
    <row r="248" spans="1:9">
      <c r="A248" s="8">
        <v>2026</v>
      </c>
      <c r="B248" s="8" t="s">
        <v>146</v>
      </c>
      <c r="C248" s="8" t="s">
        <v>114</v>
      </c>
      <c r="D248" s="8">
        <v>14</v>
      </c>
      <c r="E248" s="8" t="s">
        <v>526</v>
      </c>
      <c r="F248" s="8">
        <v>225005</v>
      </c>
      <c r="G248" s="8">
        <v>2018</v>
      </c>
      <c r="H248" s="1" t="str">
        <f t="shared" si="6"/>
        <v>Advanced (7-16nm)</v>
      </c>
      <c r="I248" s="1" t="str">
        <f t="shared" si="7"/>
        <v>Taiwan</v>
      </c>
    </row>
    <row r="249" spans="1:9">
      <c r="A249" s="8">
        <v>2026</v>
      </c>
      <c r="B249" s="8" t="s">
        <v>146</v>
      </c>
      <c r="C249" s="8" t="s">
        <v>121</v>
      </c>
      <c r="D249" s="8">
        <v>12</v>
      </c>
      <c r="E249" s="8" t="s">
        <v>526</v>
      </c>
      <c r="F249" s="8">
        <v>56571</v>
      </c>
      <c r="G249" s="8">
        <v>2026</v>
      </c>
      <c r="H249" s="1" t="str">
        <f t="shared" si="6"/>
        <v>Advanced (7-16nm)</v>
      </c>
      <c r="I249" s="1" t="str">
        <f t="shared" si="7"/>
        <v>USA</v>
      </c>
    </row>
    <row r="250" spans="1:9">
      <c r="A250" s="8">
        <v>2020</v>
      </c>
      <c r="B250" s="8" t="s">
        <v>194</v>
      </c>
      <c r="C250" s="8" t="s">
        <v>125</v>
      </c>
      <c r="D250" s="8">
        <v>14</v>
      </c>
      <c r="E250" s="8" t="s">
        <v>528</v>
      </c>
      <c r="F250" s="8">
        <v>0</v>
      </c>
      <c r="G250" s="8">
        <v>2020</v>
      </c>
      <c r="H250" s="1" t="str">
        <f t="shared" si="6"/>
        <v>Advanced (7-16nm)</v>
      </c>
      <c r="I250" s="1" t="str">
        <f t="shared" si="7"/>
        <v>China</v>
      </c>
    </row>
    <row r="251" spans="1:9">
      <c r="A251" s="8">
        <v>2021</v>
      </c>
      <c r="B251" s="8" t="s">
        <v>194</v>
      </c>
      <c r="C251" s="8" t="s">
        <v>125</v>
      </c>
      <c r="D251" s="8">
        <v>14</v>
      </c>
      <c r="E251" s="8" t="s">
        <v>528</v>
      </c>
      <c r="F251" s="8">
        <v>67775</v>
      </c>
      <c r="G251" s="8">
        <v>2020</v>
      </c>
      <c r="H251" s="1" t="str">
        <f t="shared" si="6"/>
        <v>Advanced (7-16nm)</v>
      </c>
      <c r="I251" s="1" t="str">
        <f t="shared" si="7"/>
        <v>China</v>
      </c>
    </row>
    <row r="252" spans="1:9">
      <c r="A252" s="8">
        <v>2022</v>
      </c>
      <c r="B252" s="8" t="s">
        <v>194</v>
      </c>
      <c r="C252" s="8" t="s">
        <v>125</v>
      </c>
      <c r="D252" s="8">
        <v>14</v>
      </c>
      <c r="E252" s="8" t="s">
        <v>528</v>
      </c>
      <c r="F252" s="8">
        <v>138619</v>
      </c>
      <c r="G252" s="8">
        <v>2020</v>
      </c>
      <c r="H252" s="1" t="str">
        <f t="shared" si="6"/>
        <v>Advanced (7-16nm)</v>
      </c>
      <c r="I252" s="1" t="str">
        <f t="shared" si="7"/>
        <v>China</v>
      </c>
    </row>
    <row r="253" spans="1:9">
      <c r="A253" s="8">
        <v>2023</v>
      </c>
      <c r="B253" s="8" t="s">
        <v>194</v>
      </c>
      <c r="C253" s="8" t="s">
        <v>125</v>
      </c>
      <c r="D253" s="8">
        <v>14</v>
      </c>
      <c r="E253" s="8" t="s">
        <v>528</v>
      </c>
      <c r="F253" s="8">
        <v>192066</v>
      </c>
      <c r="G253" s="8">
        <v>2020</v>
      </c>
      <c r="H253" s="1" t="str">
        <f t="shared" si="6"/>
        <v>Advanced (7-16nm)</v>
      </c>
      <c r="I253" s="1" t="str">
        <f t="shared" si="7"/>
        <v>China</v>
      </c>
    </row>
    <row r="254" spans="1:9">
      <c r="A254" s="8">
        <v>2024</v>
      </c>
      <c r="B254" s="8" t="s">
        <v>194</v>
      </c>
      <c r="C254" s="8" t="s">
        <v>125</v>
      </c>
      <c r="D254" s="8">
        <v>14</v>
      </c>
      <c r="E254" s="8" t="s">
        <v>528</v>
      </c>
      <c r="F254" s="8">
        <v>208976</v>
      </c>
      <c r="G254" s="8">
        <v>2020</v>
      </c>
      <c r="H254" s="1" t="str">
        <f t="shared" si="6"/>
        <v>Advanced (7-16nm)</v>
      </c>
      <c r="I254" s="1" t="str">
        <f t="shared" si="7"/>
        <v>China</v>
      </c>
    </row>
    <row r="255" spans="1:9">
      <c r="A255" s="8">
        <v>2025</v>
      </c>
      <c r="B255" s="8" t="s">
        <v>194</v>
      </c>
      <c r="C255" s="8" t="s">
        <v>125</v>
      </c>
      <c r="D255" s="8">
        <v>14</v>
      </c>
      <c r="E255" s="8" t="s">
        <v>528</v>
      </c>
      <c r="F255" s="8">
        <v>196067</v>
      </c>
      <c r="G255" s="8">
        <v>2020</v>
      </c>
      <c r="H255" s="1" t="str">
        <f t="shared" si="6"/>
        <v>Advanced (7-16nm)</v>
      </c>
      <c r="I255" s="1" t="str">
        <f t="shared" si="7"/>
        <v>China</v>
      </c>
    </row>
    <row r="256" spans="1:9">
      <c r="A256" s="8">
        <v>2026</v>
      </c>
      <c r="B256" s="8" t="s">
        <v>194</v>
      </c>
      <c r="C256" s="8" t="s">
        <v>125</v>
      </c>
      <c r="D256" s="8">
        <v>14</v>
      </c>
      <c r="E256" s="8" t="s">
        <v>528</v>
      </c>
      <c r="F256" s="8">
        <v>223641</v>
      </c>
      <c r="G256" s="8">
        <v>2020</v>
      </c>
      <c r="H256" s="1" t="str">
        <f t="shared" si="6"/>
        <v>Advanced (7-16nm)</v>
      </c>
      <c r="I256" s="1" t="str">
        <f t="shared" si="7"/>
        <v>China</v>
      </c>
    </row>
    <row r="257" spans="1:9">
      <c r="A257" s="8">
        <v>2020</v>
      </c>
      <c r="B257" s="8" t="s">
        <v>196</v>
      </c>
      <c r="C257" s="8" t="s">
        <v>125</v>
      </c>
      <c r="D257" s="8">
        <v>14</v>
      </c>
      <c r="E257" s="8" t="s">
        <v>526</v>
      </c>
      <c r="F257" s="8">
        <v>0</v>
      </c>
      <c r="G257" s="8">
        <v>2020</v>
      </c>
      <c r="H257" s="1" t="str">
        <f t="shared" si="6"/>
        <v>Advanced (7-16nm)</v>
      </c>
      <c r="I257" s="1" t="str">
        <f t="shared" si="7"/>
        <v>China</v>
      </c>
    </row>
    <row r="258" spans="1:9">
      <c r="A258" s="8">
        <v>2021</v>
      </c>
      <c r="B258" s="8" t="s">
        <v>196</v>
      </c>
      <c r="C258" s="8" t="s">
        <v>125</v>
      </c>
      <c r="D258" s="8">
        <v>14</v>
      </c>
      <c r="E258" s="8" t="s">
        <v>526</v>
      </c>
      <c r="F258" s="8">
        <v>38786</v>
      </c>
      <c r="G258" s="8">
        <v>2020</v>
      </c>
      <c r="H258" s="1" t="str">
        <f t="shared" si="6"/>
        <v>Advanced (7-16nm)</v>
      </c>
      <c r="I258" s="1" t="str">
        <f t="shared" si="7"/>
        <v>China</v>
      </c>
    </row>
    <row r="259" spans="1:9">
      <c r="A259" s="8">
        <v>2022</v>
      </c>
      <c r="B259" s="8" t="s">
        <v>196</v>
      </c>
      <c r="C259" s="8" t="s">
        <v>125</v>
      </c>
      <c r="D259" s="8">
        <v>14</v>
      </c>
      <c r="E259" s="8" t="s">
        <v>526</v>
      </c>
      <c r="F259" s="8">
        <v>79909</v>
      </c>
      <c r="G259" s="8">
        <v>2020</v>
      </c>
      <c r="H259" s="1" t="str">
        <f t="shared" ref="H259:H314" si="8">IF(D259&lt;=5,"Leading Edge (3-5nm)",IF(D259&lt;=16,"Advanced (7-16nm)",IF(D259&lt;=28,"Mature (22-28nm)","Legacy (40nm+)")))</f>
        <v>Advanced (7-16nm)</v>
      </c>
      <c r="I259" s="1" t="str">
        <f t="shared" ref="I259:I314" si="9">IF(C259="TWN","Taiwan",IF(C259="KOR","South Korea",IF(C259="USA","USA",IF(C259="CHN","China",IF(C259="JPN","Japan",IF(C259="DEU","Europe",IF(C259="NLD","Europe",IF(C259="ITA","Europe",IF(C259="ISR","Middle East","Other")))))))))</f>
        <v>China</v>
      </c>
    </row>
    <row r="260" spans="1:9">
      <c r="A260" s="8">
        <v>2023</v>
      </c>
      <c r="B260" s="8" t="s">
        <v>196</v>
      </c>
      <c r="C260" s="8" t="s">
        <v>125</v>
      </c>
      <c r="D260" s="8">
        <v>14</v>
      </c>
      <c r="E260" s="8" t="s">
        <v>526</v>
      </c>
      <c r="F260" s="8">
        <v>116322</v>
      </c>
      <c r="G260" s="8">
        <v>2020</v>
      </c>
      <c r="H260" s="1" t="str">
        <f t="shared" si="8"/>
        <v>Advanced (7-16nm)</v>
      </c>
      <c r="I260" s="1" t="str">
        <f t="shared" si="9"/>
        <v>China</v>
      </c>
    </row>
    <row r="261" spans="1:9">
      <c r="A261" s="8">
        <v>2024</v>
      </c>
      <c r="B261" s="8" t="s">
        <v>196</v>
      </c>
      <c r="C261" s="8" t="s">
        <v>125</v>
      </c>
      <c r="D261" s="8">
        <v>14</v>
      </c>
      <c r="E261" s="8" t="s">
        <v>526</v>
      </c>
      <c r="F261" s="8">
        <v>113739</v>
      </c>
      <c r="G261" s="8">
        <v>2020</v>
      </c>
      <c r="H261" s="1" t="str">
        <f t="shared" si="8"/>
        <v>Advanced (7-16nm)</v>
      </c>
      <c r="I261" s="1" t="str">
        <f t="shared" si="9"/>
        <v>China</v>
      </c>
    </row>
    <row r="262" spans="1:9">
      <c r="A262" s="8">
        <v>2025</v>
      </c>
      <c r="B262" s="8" t="s">
        <v>196</v>
      </c>
      <c r="C262" s="8" t="s">
        <v>125</v>
      </c>
      <c r="D262" s="8">
        <v>14</v>
      </c>
      <c r="E262" s="8" t="s">
        <v>526</v>
      </c>
      <c r="F262" s="8">
        <v>123791</v>
      </c>
      <c r="G262" s="8">
        <v>2020</v>
      </c>
      <c r="H262" s="1" t="str">
        <f t="shared" si="8"/>
        <v>Advanced (7-16nm)</v>
      </c>
      <c r="I262" s="1" t="str">
        <f t="shared" si="9"/>
        <v>China</v>
      </c>
    </row>
    <row r="263" spans="1:9">
      <c r="A263" s="8">
        <v>2026</v>
      </c>
      <c r="B263" s="8" t="s">
        <v>196</v>
      </c>
      <c r="C263" s="8" t="s">
        <v>125</v>
      </c>
      <c r="D263" s="8">
        <v>14</v>
      </c>
      <c r="E263" s="8" t="s">
        <v>526</v>
      </c>
      <c r="F263" s="8">
        <v>124911</v>
      </c>
      <c r="G263" s="8">
        <v>2020</v>
      </c>
      <c r="H263" s="1" t="str">
        <f t="shared" si="8"/>
        <v>Advanced (7-16nm)</v>
      </c>
      <c r="I263" s="1" t="str">
        <f t="shared" si="9"/>
        <v>China</v>
      </c>
    </row>
    <row r="264" spans="1:9">
      <c r="A264" s="8">
        <v>2018</v>
      </c>
      <c r="B264" s="8" t="s">
        <v>153</v>
      </c>
      <c r="C264" s="8" t="s">
        <v>155</v>
      </c>
      <c r="D264" s="8">
        <v>65</v>
      </c>
      <c r="E264" s="8" t="s">
        <v>523</v>
      </c>
      <c r="F264" s="8">
        <v>0</v>
      </c>
      <c r="G264" s="8">
        <v>2018</v>
      </c>
      <c r="H264" s="1" t="str">
        <f t="shared" si="8"/>
        <v>Legacy (40nm+)</v>
      </c>
      <c r="I264" s="1" t="str">
        <f t="shared" si="9"/>
        <v>Europe</v>
      </c>
    </row>
    <row r="265" spans="1:9">
      <c r="A265" s="8">
        <v>2019</v>
      </c>
      <c r="B265" s="8" t="s">
        <v>153</v>
      </c>
      <c r="C265" s="8" t="s">
        <v>155</v>
      </c>
      <c r="D265" s="8">
        <v>65</v>
      </c>
      <c r="E265" s="8" t="s">
        <v>523</v>
      </c>
      <c r="F265" s="8">
        <v>15735</v>
      </c>
      <c r="G265" s="8">
        <v>2018</v>
      </c>
      <c r="H265" s="1" t="str">
        <f t="shared" si="8"/>
        <v>Legacy (40nm+)</v>
      </c>
      <c r="I265" s="1" t="str">
        <f t="shared" si="9"/>
        <v>Europe</v>
      </c>
    </row>
    <row r="266" spans="1:9">
      <c r="A266" s="8">
        <v>2020</v>
      </c>
      <c r="B266" s="8" t="s">
        <v>153</v>
      </c>
      <c r="C266" s="8" t="s">
        <v>155</v>
      </c>
      <c r="D266" s="8">
        <v>65</v>
      </c>
      <c r="E266" s="8" t="s">
        <v>523</v>
      </c>
      <c r="F266" s="8">
        <v>34541</v>
      </c>
      <c r="G266" s="8">
        <v>2018</v>
      </c>
      <c r="H266" s="1" t="str">
        <f t="shared" si="8"/>
        <v>Legacy (40nm+)</v>
      </c>
      <c r="I266" s="1" t="str">
        <f t="shared" si="9"/>
        <v>Europe</v>
      </c>
    </row>
    <row r="267" spans="1:9">
      <c r="A267" s="8">
        <v>2021</v>
      </c>
      <c r="B267" s="8" t="s">
        <v>153</v>
      </c>
      <c r="C267" s="8" t="s">
        <v>155</v>
      </c>
      <c r="D267" s="8">
        <v>65</v>
      </c>
      <c r="E267" s="8" t="s">
        <v>523</v>
      </c>
      <c r="F267" s="8">
        <v>47131</v>
      </c>
      <c r="G267" s="8">
        <v>2018</v>
      </c>
      <c r="H267" s="1" t="str">
        <f t="shared" si="8"/>
        <v>Legacy (40nm+)</v>
      </c>
      <c r="I267" s="1" t="str">
        <f t="shared" si="9"/>
        <v>Europe</v>
      </c>
    </row>
    <row r="268" spans="1:9">
      <c r="A268" s="8">
        <v>2022</v>
      </c>
      <c r="B268" s="8" t="s">
        <v>153</v>
      </c>
      <c r="C268" s="8" t="s">
        <v>155</v>
      </c>
      <c r="D268" s="8">
        <v>65</v>
      </c>
      <c r="E268" s="8" t="s">
        <v>523</v>
      </c>
      <c r="F268" s="8">
        <v>48604</v>
      </c>
      <c r="G268" s="8">
        <v>2018</v>
      </c>
      <c r="H268" s="1" t="str">
        <f t="shared" si="8"/>
        <v>Legacy (40nm+)</v>
      </c>
      <c r="I268" s="1" t="str">
        <f t="shared" si="9"/>
        <v>Europe</v>
      </c>
    </row>
    <row r="269" spans="1:9">
      <c r="A269" s="8">
        <v>2023</v>
      </c>
      <c r="B269" s="8" t="s">
        <v>153</v>
      </c>
      <c r="C269" s="8" t="s">
        <v>155</v>
      </c>
      <c r="D269" s="8">
        <v>65</v>
      </c>
      <c r="E269" s="8" t="s">
        <v>523</v>
      </c>
      <c r="F269" s="8">
        <v>48462</v>
      </c>
      <c r="G269" s="8">
        <v>2018</v>
      </c>
      <c r="H269" s="1" t="str">
        <f t="shared" si="8"/>
        <v>Legacy (40nm+)</v>
      </c>
      <c r="I269" s="1" t="str">
        <f t="shared" si="9"/>
        <v>Europe</v>
      </c>
    </row>
    <row r="270" spans="1:9">
      <c r="A270" s="8">
        <v>2024</v>
      </c>
      <c r="B270" s="8" t="s">
        <v>153</v>
      </c>
      <c r="C270" s="8" t="s">
        <v>155</v>
      </c>
      <c r="D270" s="8">
        <v>65</v>
      </c>
      <c r="E270" s="8" t="s">
        <v>523</v>
      </c>
      <c r="F270" s="8">
        <v>53425</v>
      </c>
      <c r="G270" s="8">
        <v>2018</v>
      </c>
      <c r="H270" s="1" t="str">
        <f t="shared" si="8"/>
        <v>Legacy (40nm+)</v>
      </c>
      <c r="I270" s="1" t="str">
        <f t="shared" si="9"/>
        <v>Europe</v>
      </c>
    </row>
    <row r="271" spans="1:9">
      <c r="A271" s="8">
        <v>2025</v>
      </c>
      <c r="B271" s="8" t="s">
        <v>153</v>
      </c>
      <c r="C271" s="8" t="s">
        <v>155</v>
      </c>
      <c r="D271" s="8">
        <v>65</v>
      </c>
      <c r="E271" s="8" t="s">
        <v>523</v>
      </c>
      <c r="F271" s="8">
        <v>53374</v>
      </c>
      <c r="G271" s="8">
        <v>2018</v>
      </c>
      <c r="H271" s="1" t="str">
        <f t="shared" si="8"/>
        <v>Legacy (40nm+)</v>
      </c>
      <c r="I271" s="1" t="str">
        <f t="shared" si="9"/>
        <v>Europe</v>
      </c>
    </row>
    <row r="272" spans="1:9">
      <c r="A272" s="8">
        <v>2026</v>
      </c>
      <c r="B272" s="8" t="s">
        <v>153</v>
      </c>
      <c r="C272" s="8" t="s">
        <v>155</v>
      </c>
      <c r="D272" s="8">
        <v>65</v>
      </c>
      <c r="E272" s="8" t="s">
        <v>523</v>
      </c>
      <c r="F272" s="8">
        <v>54420</v>
      </c>
      <c r="G272" s="8">
        <v>2018</v>
      </c>
      <c r="H272" s="1" t="str">
        <f t="shared" si="8"/>
        <v>Legacy (40nm+)</v>
      </c>
      <c r="I272" s="1" t="str">
        <f t="shared" si="9"/>
        <v>Europe</v>
      </c>
    </row>
    <row r="273" spans="1:9">
      <c r="A273" s="8">
        <v>2022</v>
      </c>
      <c r="B273" s="8" t="s">
        <v>153</v>
      </c>
      <c r="C273" s="8" t="s">
        <v>155</v>
      </c>
      <c r="D273" s="8">
        <v>65</v>
      </c>
      <c r="E273" s="8" t="s">
        <v>529</v>
      </c>
      <c r="F273" s="8">
        <v>0</v>
      </c>
      <c r="G273" s="8">
        <v>2022</v>
      </c>
      <c r="H273" s="1" t="str">
        <f t="shared" si="8"/>
        <v>Legacy (40nm+)</v>
      </c>
      <c r="I273" s="1" t="str">
        <f t="shared" si="9"/>
        <v>Europe</v>
      </c>
    </row>
    <row r="274" spans="1:9">
      <c r="A274" s="8">
        <v>2023</v>
      </c>
      <c r="B274" s="8" t="s">
        <v>153</v>
      </c>
      <c r="C274" s="8" t="s">
        <v>155</v>
      </c>
      <c r="D274" s="8">
        <v>65</v>
      </c>
      <c r="E274" s="8" t="s">
        <v>529</v>
      </c>
      <c r="F274" s="8">
        <v>24000</v>
      </c>
      <c r="G274" s="8">
        <v>2022</v>
      </c>
      <c r="H274" s="1" t="str">
        <f t="shared" si="8"/>
        <v>Legacy (40nm+)</v>
      </c>
      <c r="I274" s="1" t="str">
        <f t="shared" si="9"/>
        <v>Europe</v>
      </c>
    </row>
    <row r="275" spans="1:9">
      <c r="A275" s="8">
        <v>2024</v>
      </c>
      <c r="B275" s="8" t="s">
        <v>153</v>
      </c>
      <c r="C275" s="8" t="s">
        <v>155</v>
      </c>
      <c r="D275" s="8">
        <v>65</v>
      </c>
      <c r="E275" s="8" t="s">
        <v>529</v>
      </c>
      <c r="F275" s="8">
        <v>53218</v>
      </c>
      <c r="G275" s="8">
        <v>2022</v>
      </c>
      <c r="H275" s="1" t="str">
        <f t="shared" si="8"/>
        <v>Legacy (40nm+)</v>
      </c>
      <c r="I275" s="1" t="str">
        <f t="shared" si="9"/>
        <v>Europe</v>
      </c>
    </row>
    <row r="276" spans="1:9">
      <c r="A276" s="8">
        <v>2025</v>
      </c>
      <c r="B276" s="8" t="s">
        <v>153</v>
      </c>
      <c r="C276" s="8" t="s">
        <v>155</v>
      </c>
      <c r="D276" s="8">
        <v>65</v>
      </c>
      <c r="E276" s="8" t="s">
        <v>529</v>
      </c>
      <c r="F276" s="8">
        <v>92822</v>
      </c>
      <c r="G276" s="8">
        <v>2022</v>
      </c>
      <c r="H276" s="1" t="str">
        <f t="shared" si="8"/>
        <v>Legacy (40nm+)</v>
      </c>
      <c r="I276" s="1" t="str">
        <f t="shared" si="9"/>
        <v>Europe</v>
      </c>
    </row>
    <row r="277" spans="1:9">
      <c r="A277" s="8">
        <v>2026</v>
      </c>
      <c r="B277" s="8" t="s">
        <v>153</v>
      </c>
      <c r="C277" s="8" t="s">
        <v>155</v>
      </c>
      <c r="D277" s="8">
        <v>65</v>
      </c>
      <c r="E277" s="8" t="s">
        <v>529</v>
      </c>
      <c r="F277" s="8">
        <v>88584</v>
      </c>
      <c r="G277" s="8">
        <v>2022</v>
      </c>
      <c r="H277" s="1" t="str">
        <f t="shared" si="8"/>
        <v>Legacy (40nm+)</v>
      </c>
      <c r="I277" s="1" t="str">
        <f t="shared" si="9"/>
        <v>Europe</v>
      </c>
    </row>
    <row r="278" spans="1:9">
      <c r="A278" s="8">
        <v>2017</v>
      </c>
      <c r="B278" s="8" t="s">
        <v>157</v>
      </c>
      <c r="C278" s="8" t="s">
        <v>530</v>
      </c>
      <c r="D278" s="8">
        <v>65</v>
      </c>
      <c r="E278" s="8" t="s">
        <v>523</v>
      </c>
      <c r="F278" s="8">
        <v>0</v>
      </c>
      <c r="G278" s="8">
        <v>2017</v>
      </c>
      <c r="H278" s="1" t="str">
        <f t="shared" si="8"/>
        <v>Legacy (40nm+)</v>
      </c>
      <c r="I278" s="1" t="str">
        <f t="shared" si="9"/>
        <v>Europe</v>
      </c>
    </row>
    <row r="279" spans="1:9">
      <c r="A279" s="8">
        <v>2018</v>
      </c>
      <c r="B279" s="8" t="s">
        <v>157</v>
      </c>
      <c r="C279" s="8" t="s">
        <v>530</v>
      </c>
      <c r="D279" s="8">
        <v>65</v>
      </c>
      <c r="E279" s="8" t="s">
        <v>523</v>
      </c>
      <c r="F279" s="8">
        <v>20555</v>
      </c>
      <c r="G279" s="8">
        <v>2017</v>
      </c>
      <c r="H279" s="1" t="str">
        <f t="shared" si="8"/>
        <v>Legacy (40nm+)</v>
      </c>
      <c r="I279" s="1" t="str">
        <f t="shared" si="9"/>
        <v>Europe</v>
      </c>
    </row>
    <row r="280" spans="1:9">
      <c r="A280" s="8">
        <v>2019</v>
      </c>
      <c r="B280" s="8" t="s">
        <v>157</v>
      </c>
      <c r="C280" s="8" t="s">
        <v>530</v>
      </c>
      <c r="D280" s="8">
        <v>65</v>
      </c>
      <c r="E280" s="8" t="s">
        <v>523</v>
      </c>
      <c r="F280" s="8">
        <v>41831</v>
      </c>
      <c r="G280" s="8">
        <v>2017</v>
      </c>
      <c r="H280" s="1" t="str">
        <f t="shared" si="8"/>
        <v>Legacy (40nm+)</v>
      </c>
      <c r="I280" s="1" t="str">
        <f t="shared" si="9"/>
        <v>Europe</v>
      </c>
    </row>
    <row r="281" spans="1:9">
      <c r="A281" s="8">
        <v>2020</v>
      </c>
      <c r="B281" s="8" t="s">
        <v>157</v>
      </c>
      <c r="C281" s="8" t="s">
        <v>530</v>
      </c>
      <c r="D281" s="8">
        <v>65</v>
      </c>
      <c r="E281" s="8" t="s">
        <v>523</v>
      </c>
      <c r="F281" s="8">
        <v>54297</v>
      </c>
      <c r="G281" s="8">
        <v>2017</v>
      </c>
      <c r="H281" s="1" t="str">
        <f t="shared" si="8"/>
        <v>Legacy (40nm+)</v>
      </c>
      <c r="I281" s="1" t="str">
        <f t="shared" si="9"/>
        <v>Europe</v>
      </c>
    </row>
    <row r="282" spans="1:9">
      <c r="A282" s="8">
        <v>2021</v>
      </c>
      <c r="B282" s="8" t="s">
        <v>157</v>
      </c>
      <c r="C282" s="8" t="s">
        <v>530</v>
      </c>
      <c r="D282" s="8">
        <v>65</v>
      </c>
      <c r="E282" s="8" t="s">
        <v>523</v>
      </c>
      <c r="F282" s="8">
        <v>55159</v>
      </c>
      <c r="G282" s="8">
        <v>2017</v>
      </c>
      <c r="H282" s="1" t="str">
        <f t="shared" si="8"/>
        <v>Legacy (40nm+)</v>
      </c>
      <c r="I282" s="1" t="str">
        <f t="shared" si="9"/>
        <v>Europe</v>
      </c>
    </row>
    <row r="283" spans="1:9">
      <c r="A283" s="8">
        <v>2022</v>
      </c>
      <c r="B283" s="8" t="s">
        <v>157</v>
      </c>
      <c r="C283" s="8" t="s">
        <v>530</v>
      </c>
      <c r="D283" s="8">
        <v>65</v>
      </c>
      <c r="E283" s="8" t="s">
        <v>523</v>
      </c>
      <c r="F283" s="8">
        <v>60634</v>
      </c>
      <c r="G283" s="8">
        <v>2017</v>
      </c>
      <c r="H283" s="1" t="str">
        <f t="shared" si="8"/>
        <v>Legacy (40nm+)</v>
      </c>
      <c r="I283" s="1" t="str">
        <f t="shared" si="9"/>
        <v>Europe</v>
      </c>
    </row>
    <row r="284" spans="1:9">
      <c r="A284" s="8">
        <v>2023</v>
      </c>
      <c r="B284" s="8" t="s">
        <v>157</v>
      </c>
      <c r="C284" s="8" t="s">
        <v>530</v>
      </c>
      <c r="D284" s="8">
        <v>65</v>
      </c>
      <c r="E284" s="8" t="s">
        <v>523</v>
      </c>
      <c r="F284" s="8">
        <v>57893</v>
      </c>
      <c r="G284" s="8">
        <v>2017</v>
      </c>
      <c r="H284" s="1" t="str">
        <f t="shared" si="8"/>
        <v>Legacy (40nm+)</v>
      </c>
      <c r="I284" s="1" t="str">
        <f t="shared" si="9"/>
        <v>Europe</v>
      </c>
    </row>
    <row r="285" spans="1:9">
      <c r="A285" s="8">
        <v>2024</v>
      </c>
      <c r="B285" s="8" t="s">
        <v>157</v>
      </c>
      <c r="C285" s="8" t="s">
        <v>530</v>
      </c>
      <c r="D285" s="8">
        <v>65</v>
      </c>
      <c r="E285" s="8" t="s">
        <v>523</v>
      </c>
      <c r="F285" s="8">
        <v>64068</v>
      </c>
      <c r="G285" s="8">
        <v>2017</v>
      </c>
      <c r="H285" s="1" t="str">
        <f t="shared" si="8"/>
        <v>Legacy (40nm+)</v>
      </c>
      <c r="I285" s="1" t="str">
        <f t="shared" si="9"/>
        <v>Europe</v>
      </c>
    </row>
    <row r="286" spans="1:9">
      <c r="A286" s="8">
        <v>2025</v>
      </c>
      <c r="B286" s="8" t="s">
        <v>157</v>
      </c>
      <c r="C286" s="8" t="s">
        <v>530</v>
      </c>
      <c r="D286" s="8">
        <v>65</v>
      </c>
      <c r="E286" s="8" t="s">
        <v>523</v>
      </c>
      <c r="F286" s="8">
        <v>62014</v>
      </c>
      <c r="G286" s="8">
        <v>2017</v>
      </c>
      <c r="H286" s="1" t="str">
        <f t="shared" si="8"/>
        <v>Legacy (40nm+)</v>
      </c>
      <c r="I286" s="1" t="str">
        <f t="shared" si="9"/>
        <v>Europe</v>
      </c>
    </row>
    <row r="287" spans="1:9">
      <c r="A287" s="8">
        <v>2026</v>
      </c>
      <c r="B287" s="8" t="s">
        <v>157</v>
      </c>
      <c r="C287" s="8" t="s">
        <v>530</v>
      </c>
      <c r="D287" s="8">
        <v>65</v>
      </c>
      <c r="E287" s="8" t="s">
        <v>523</v>
      </c>
      <c r="F287" s="8">
        <v>59915</v>
      </c>
      <c r="G287" s="8">
        <v>2017</v>
      </c>
      <c r="H287" s="1" t="str">
        <f t="shared" si="8"/>
        <v>Legacy (40nm+)</v>
      </c>
      <c r="I287" s="1" t="str">
        <f t="shared" si="9"/>
        <v>Europe</v>
      </c>
    </row>
    <row r="288" spans="1:9">
      <c r="A288" s="8">
        <v>2015</v>
      </c>
      <c r="B288" s="8" t="s">
        <v>531</v>
      </c>
      <c r="C288" s="8" t="s">
        <v>163</v>
      </c>
      <c r="D288" s="8">
        <v>90</v>
      </c>
      <c r="E288" s="8" t="s">
        <v>523</v>
      </c>
      <c r="F288" s="8">
        <v>0</v>
      </c>
      <c r="G288" s="8">
        <v>2015</v>
      </c>
      <c r="H288" s="1" t="str">
        <f t="shared" si="8"/>
        <v>Legacy (40nm+)</v>
      </c>
      <c r="I288" s="1" t="str">
        <f t="shared" si="9"/>
        <v>Europe</v>
      </c>
    </row>
    <row r="289" spans="1:9">
      <c r="A289" s="8">
        <v>2016</v>
      </c>
      <c r="B289" s="8" t="s">
        <v>531</v>
      </c>
      <c r="C289" s="8" t="s">
        <v>163</v>
      </c>
      <c r="D289" s="8">
        <v>90</v>
      </c>
      <c r="E289" s="8" t="s">
        <v>523</v>
      </c>
      <c r="F289" s="8">
        <v>11620</v>
      </c>
      <c r="G289" s="8">
        <v>2015</v>
      </c>
      <c r="H289" s="1" t="str">
        <f t="shared" si="8"/>
        <v>Legacy (40nm+)</v>
      </c>
      <c r="I289" s="1" t="str">
        <f t="shared" si="9"/>
        <v>Europe</v>
      </c>
    </row>
    <row r="290" spans="1:9">
      <c r="A290" s="8">
        <v>2017</v>
      </c>
      <c r="B290" s="8" t="s">
        <v>531</v>
      </c>
      <c r="C290" s="8" t="s">
        <v>163</v>
      </c>
      <c r="D290" s="8">
        <v>90</v>
      </c>
      <c r="E290" s="8" t="s">
        <v>523</v>
      </c>
      <c r="F290" s="8">
        <v>26356</v>
      </c>
      <c r="G290" s="8">
        <v>2015</v>
      </c>
      <c r="H290" s="1" t="str">
        <f t="shared" si="8"/>
        <v>Legacy (40nm+)</v>
      </c>
      <c r="I290" s="1" t="str">
        <f t="shared" si="9"/>
        <v>Europe</v>
      </c>
    </row>
    <row r="291" spans="1:9">
      <c r="A291" s="8">
        <v>2018</v>
      </c>
      <c r="B291" s="8" t="s">
        <v>531</v>
      </c>
      <c r="C291" s="8" t="s">
        <v>163</v>
      </c>
      <c r="D291" s="8">
        <v>90</v>
      </c>
      <c r="E291" s="8" t="s">
        <v>523</v>
      </c>
      <c r="F291" s="8">
        <v>39625</v>
      </c>
      <c r="G291" s="8">
        <v>2015</v>
      </c>
      <c r="H291" s="1" t="str">
        <f t="shared" si="8"/>
        <v>Legacy (40nm+)</v>
      </c>
      <c r="I291" s="1" t="str">
        <f t="shared" si="9"/>
        <v>Europe</v>
      </c>
    </row>
    <row r="292" spans="1:9">
      <c r="A292" s="8">
        <v>2019</v>
      </c>
      <c r="B292" s="8" t="s">
        <v>531</v>
      </c>
      <c r="C292" s="8" t="s">
        <v>163</v>
      </c>
      <c r="D292" s="8">
        <v>90</v>
      </c>
      <c r="E292" s="8" t="s">
        <v>523</v>
      </c>
      <c r="F292" s="8">
        <v>39160</v>
      </c>
      <c r="G292" s="8">
        <v>2015</v>
      </c>
      <c r="H292" s="1" t="str">
        <f t="shared" si="8"/>
        <v>Legacy (40nm+)</v>
      </c>
      <c r="I292" s="1" t="str">
        <f t="shared" si="9"/>
        <v>Europe</v>
      </c>
    </row>
    <row r="293" spans="1:9">
      <c r="A293" s="8">
        <v>2020</v>
      </c>
      <c r="B293" s="8" t="s">
        <v>531</v>
      </c>
      <c r="C293" s="8" t="s">
        <v>163</v>
      </c>
      <c r="D293" s="8">
        <v>90</v>
      </c>
      <c r="E293" s="8" t="s">
        <v>523</v>
      </c>
      <c r="F293" s="8">
        <v>42217</v>
      </c>
      <c r="G293" s="8">
        <v>2015</v>
      </c>
      <c r="H293" s="1" t="str">
        <f t="shared" si="8"/>
        <v>Legacy (40nm+)</v>
      </c>
      <c r="I293" s="1" t="str">
        <f t="shared" si="9"/>
        <v>Europe</v>
      </c>
    </row>
    <row r="294" spans="1:9">
      <c r="A294" s="8">
        <v>2021</v>
      </c>
      <c r="B294" s="8" t="s">
        <v>531</v>
      </c>
      <c r="C294" s="8" t="s">
        <v>163</v>
      </c>
      <c r="D294" s="8">
        <v>90</v>
      </c>
      <c r="E294" s="8" t="s">
        <v>523</v>
      </c>
      <c r="F294" s="8">
        <v>42470</v>
      </c>
      <c r="G294" s="8">
        <v>2015</v>
      </c>
      <c r="H294" s="1" t="str">
        <f t="shared" si="8"/>
        <v>Legacy (40nm+)</v>
      </c>
      <c r="I294" s="1" t="str">
        <f t="shared" si="9"/>
        <v>Europe</v>
      </c>
    </row>
    <row r="295" spans="1:9">
      <c r="A295" s="8">
        <v>2022</v>
      </c>
      <c r="B295" s="8" t="s">
        <v>531</v>
      </c>
      <c r="C295" s="8" t="s">
        <v>163</v>
      </c>
      <c r="D295" s="8">
        <v>90</v>
      </c>
      <c r="E295" s="8" t="s">
        <v>523</v>
      </c>
      <c r="F295" s="8">
        <v>39660</v>
      </c>
      <c r="G295" s="8">
        <v>2015</v>
      </c>
      <c r="H295" s="1" t="str">
        <f t="shared" si="8"/>
        <v>Legacy (40nm+)</v>
      </c>
      <c r="I295" s="1" t="str">
        <f t="shared" si="9"/>
        <v>Europe</v>
      </c>
    </row>
    <row r="296" spans="1:9">
      <c r="A296" s="8">
        <v>2023</v>
      </c>
      <c r="B296" s="8" t="s">
        <v>531</v>
      </c>
      <c r="C296" s="8" t="s">
        <v>163</v>
      </c>
      <c r="D296" s="8">
        <v>90</v>
      </c>
      <c r="E296" s="8" t="s">
        <v>523</v>
      </c>
      <c r="F296" s="8">
        <v>35950</v>
      </c>
      <c r="G296" s="8">
        <v>2015</v>
      </c>
      <c r="H296" s="1" t="str">
        <f t="shared" si="8"/>
        <v>Legacy (40nm+)</v>
      </c>
      <c r="I296" s="1" t="str">
        <f t="shared" si="9"/>
        <v>Europe</v>
      </c>
    </row>
    <row r="297" spans="1:9">
      <c r="A297" s="8">
        <v>2024</v>
      </c>
      <c r="B297" s="8" t="s">
        <v>531</v>
      </c>
      <c r="C297" s="8" t="s">
        <v>163</v>
      </c>
      <c r="D297" s="8">
        <v>90</v>
      </c>
      <c r="E297" s="8" t="s">
        <v>523</v>
      </c>
      <c r="F297" s="8">
        <v>41253</v>
      </c>
      <c r="G297" s="8">
        <v>2015</v>
      </c>
      <c r="H297" s="1" t="str">
        <f t="shared" si="8"/>
        <v>Legacy (40nm+)</v>
      </c>
      <c r="I297" s="1" t="str">
        <f t="shared" si="9"/>
        <v>Europe</v>
      </c>
    </row>
    <row r="298" spans="1:9">
      <c r="A298" s="8">
        <v>2025</v>
      </c>
      <c r="B298" s="8" t="s">
        <v>531</v>
      </c>
      <c r="C298" s="8" t="s">
        <v>163</v>
      </c>
      <c r="D298" s="8">
        <v>90</v>
      </c>
      <c r="E298" s="8" t="s">
        <v>523</v>
      </c>
      <c r="F298" s="8">
        <v>43182</v>
      </c>
      <c r="G298" s="8">
        <v>2015</v>
      </c>
      <c r="H298" s="1" t="str">
        <f t="shared" si="8"/>
        <v>Legacy (40nm+)</v>
      </c>
      <c r="I298" s="1" t="str">
        <f t="shared" si="9"/>
        <v>Europe</v>
      </c>
    </row>
    <row r="299" spans="1:9">
      <c r="A299" s="8">
        <v>2026</v>
      </c>
      <c r="B299" s="8" t="s">
        <v>531</v>
      </c>
      <c r="C299" s="8" t="s">
        <v>163</v>
      </c>
      <c r="D299" s="8">
        <v>90</v>
      </c>
      <c r="E299" s="8" t="s">
        <v>523</v>
      </c>
      <c r="F299" s="8">
        <v>44685</v>
      </c>
      <c r="G299" s="8">
        <v>2015</v>
      </c>
      <c r="H299" s="1" t="str">
        <f t="shared" si="8"/>
        <v>Legacy (40nm+)</v>
      </c>
      <c r="I299" s="1" t="str">
        <f t="shared" si="9"/>
        <v>Europe</v>
      </c>
    </row>
    <row r="300" spans="1:9">
      <c r="A300" s="8">
        <v>2019</v>
      </c>
      <c r="B300" s="8" t="s">
        <v>164</v>
      </c>
      <c r="C300" s="8" t="s">
        <v>165</v>
      </c>
      <c r="D300" s="8">
        <v>40</v>
      </c>
      <c r="E300" s="8" t="s">
        <v>523</v>
      </c>
      <c r="F300" s="8">
        <v>0</v>
      </c>
      <c r="G300" s="8">
        <v>2019</v>
      </c>
      <c r="H300" s="1" t="str">
        <f t="shared" si="8"/>
        <v>Legacy (40nm+)</v>
      </c>
      <c r="I300" s="1" t="str">
        <f t="shared" si="9"/>
        <v>Japan</v>
      </c>
    </row>
    <row r="301" spans="1:9">
      <c r="A301" s="8">
        <v>2020</v>
      </c>
      <c r="B301" s="8" t="s">
        <v>164</v>
      </c>
      <c r="C301" s="8" t="s">
        <v>165</v>
      </c>
      <c r="D301" s="8">
        <v>40</v>
      </c>
      <c r="E301" s="8" t="s">
        <v>523</v>
      </c>
      <c r="F301" s="8">
        <v>15723</v>
      </c>
      <c r="G301" s="8">
        <v>2019</v>
      </c>
      <c r="H301" s="1" t="str">
        <f t="shared" si="8"/>
        <v>Legacy (40nm+)</v>
      </c>
      <c r="I301" s="1" t="str">
        <f t="shared" si="9"/>
        <v>Japan</v>
      </c>
    </row>
    <row r="302" spans="1:9">
      <c r="A302" s="8">
        <v>2021</v>
      </c>
      <c r="B302" s="8" t="s">
        <v>164</v>
      </c>
      <c r="C302" s="8" t="s">
        <v>165</v>
      </c>
      <c r="D302" s="8">
        <v>40</v>
      </c>
      <c r="E302" s="8" t="s">
        <v>523</v>
      </c>
      <c r="F302" s="8">
        <v>36855</v>
      </c>
      <c r="G302" s="8">
        <v>2019</v>
      </c>
      <c r="H302" s="1" t="str">
        <f t="shared" si="8"/>
        <v>Legacy (40nm+)</v>
      </c>
      <c r="I302" s="1" t="str">
        <f t="shared" si="9"/>
        <v>Japan</v>
      </c>
    </row>
    <row r="303" spans="1:9">
      <c r="A303" s="8">
        <v>2022</v>
      </c>
      <c r="B303" s="8" t="s">
        <v>164</v>
      </c>
      <c r="C303" s="8" t="s">
        <v>165</v>
      </c>
      <c r="D303" s="8">
        <v>40</v>
      </c>
      <c r="E303" s="8" t="s">
        <v>523</v>
      </c>
      <c r="F303" s="8">
        <v>47658</v>
      </c>
      <c r="G303" s="8">
        <v>2019</v>
      </c>
      <c r="H303" s="1" t="str">
        <f t="shared" si="8"/>
        <v>Legacy (40nm+)</v>
      </c>
      <c r="I303" s="1" t="str">
        <f t="shared" si="9"/>
        <v>Japan</v>
      </c>
    </row>
    <row r="304" spans="1:9">
      <c r="A304" s="8">
        <v>2023</v>
      </c>
      <c r="B304" s="8" t="s">
        <v>164</v>
      </c>
      <c r="C304" s="8" t="s">
        <v>165</v>
      </c>
      <c r="D304" s="8">
        <v>40</v>
      </c>
      <c r="E304" s="8" t="s">
        <v>523</v>
      </c>
      <c r="F304" s="8">
        <v>51908</v>
      </c>
      <c r="G304" s="8">
        <v>2019</v>
      </c>
      <c r="H304" s="1" t="str">
        <f t="shared" si="8"/>
        <v>Legacy (40nm+)</v>
      </c>
      <c r="I304" s="1" t="str">
        <f t="shared" si="9"/>
        <v>Japan</v>
      </c>
    </row>
    <row r="305" spans="1:9">
      <c r="A305" s="8">
        <v>2024</v>
      </c>
      <c r="B305" s="8" t="s">
        <v>164</v>
      </c>
      <c r="C305" s="8" t="s">
        <v>165</v>
      </c>
      <c r="D305" s="8">
        <v>40</v>
      </c>
      <c r="E305" s="8" t="s">
        <v>523</v>
      </c>
      <c r="F305" s="8">
        <v>45954</v>
      </c>
      <c r="G305" s="8">
        <v>2019</v>
      </c>
      <c r="H305" s="1" t="str">
        <f t="shared" si="8"/>
        <v>Legacy (40nm+)</v>
      </c>
      <c r="I305" s="1" t="str">
        <f t="shared" si="9"/>
        <v>Japan</v>
      </c>
    </row>
    <row r="306" spans="1:9">
      <c r="A306" s="8">
        <v>2025</v>
      </c>
      <c r="B306" s="8" t="s">
        <v>164</v>
      </c>
      <c r="C306" s="8" t="s">
        <v>165</v>
      </c>
      <c r="D306" s="8">
        <v>40</v>
      </c>
      <c r="E306" s="8" t="s">
        <v>523</v>
      </c>
      <c r="F306" s="8">
        <v>50113</v>
      </c>
      <c r="G306" s="8">
        <v>2019</v>
      </c>
      <c r="H306" s="1" t="str">
        <f t="shared" si="8"/>
        <v>Legacy (40nm+)</v>
      </c>
      <c r="I306" s="1" t="str">
        <f t="shared" si="9"/>
        <v>Japan</v>
      </c>
    </row>
    <row r="307" spans="1:9">
      <c r="A307" s="8">
        <v>2026</v>
      </c>
      <c r="B307" s="8" t="s">
        <v>164</v>
      </c>
      <c r="C307" s="8" t="s">
        <v>165</v>
      </c>
      <c r="D307" s="8">
        <v>40</v>
      </c>
      <c r="E307" s="8" t="s">
        <v>523</v>
      </c>
      <c r="F307" s="8">
        <v>59332</v>
      </c>
      <c r="G307" s="8">
        <v>2019</v>
      </c>
      <c r="H307" s="1" t="str">
        <f t="shared" si="8"/>
        <v>Legacy (40nm+)</v>
      </c>
      <c r="I307" s="1" t="str">
        <f t="shared" si="9"/>
        <v>Japan</v>
      </c>
    </row>
    <row r="308" spans="1:9">
      <c r="A308" s="8">
        <v>2020</v>
      </c>
      <c r="B308" s="8" t="s">
        <v>197</v>
      </c>
      <c r="C308" s="8" t="s">
        <v>125</v>
      </c>
      <c r="D308" s="8">
        <v>28</v>
      </c>
      <c r="E308" s="8" t="s">
        <v>523</v>
      </c>
      <c r="F308" s="8">
        <v>0</v>
      </c>
      <c r="G308" s="8">
        <v>2020</v>
      </c>
      <c r="H308" s="1" t="str">
        <f t="shared" si="8"/>
        <v>Mature (22-28nm)</v>
      </c>
      <c r="I308" s="1" t="str">
        <f t="shared" si="9"/>
        <v>China</v>
      </c>
    </row>
    <row r="309" spans="1:9">
      <c r="A309" s="8">
        <v>2021</v>
      </c>
      <c r="B309" s="8" t="s">
        <v>197</v>
      </c>
      <c r="C309" s="8" t="s">
        <v>125</v>
      </c>
      <c r="D309" s="8">
        <v>28</v>
      </c>
      <c r="E309" s="8" t="s">
        <v>523</v>
      </c>
      <c r="F309" s="8">
        <v>24334</v>
      </c>
      <c r="G309" s="8">
        <v>2020</v>
      </c>
      <c r="H309" s="1" t="str">
        <f t="shared" si="8"/>
        <v>Mature (22-28nm)</v>
      </c>
      <c r="I309" s="1" t="str">
        <f t="shared" si="9"/>
        <v>China</v>
      </c>
    </row>
    <row r="310" spans="1:9">
      <c r="A310" s="8">
        <v>2022</v>
      </c>
      <c r="B310" s="8" t="s">
        <v>197</v>
      </c>
      <c r="C310" s="8" t="s">
        <v>125</v>
      </c>
      <c r="D310" s="8">
        <v>28</v>
      </c>
      <c r="E310" s="8" t="s">
        <v>523</v>
      </c>
      <c r="F310" s="8">
        <v>47222</v>
      </c>
      <c r="G310" s="8">
        <v>2020</v>
      </c>
      <c r="H310" s="1" t="str">
        <f t="shared" si="8"/>
        <v>Mature (22-28nm)</v>
      </c>
      <c r="I310" s="1" t="str">
        <f t="shared" si="9"/>
        <v>China</v>
      </c>
    </row>
    <row r="311" spans="1:9">
      <c r="A311" s="8">
        <v>2023</v>
      </c>
      <c r="B311" s="8" t="s">
        <v>197</v>
      </c>
      <c r="C311" s="8" t="s">
        <v>125</v>
      </c>
      <c r="D311" s="8">
        <v>28</v>
      </c>
      <c r="E311" s="8" t="s">
        <v>523</v>
      </c>
      <c r="F311" s="8">
        <v>69633</v>
      </c>
      <c r="G311" s="8">
        <v>2020</v>
      </c>
      <c r="H311" s="1" t="str">
        <f t="shared" si="8"/>
        <v>Mature (22-28nm)</v>
      </c>
      <c r="I311" s="1" t="str">
        <f t="shared" si="9"/>
        <v>China</v>
      </c>
    </row>
    <row r="312" spans="1:9">
      <c r="A312" s="8">
        <v>2024</v>
      </c>
      <c r="B312" s="8" t="s">
        <v>197</v>
      </c>
      <c r="C312" s="8" t="s">
        <v>125</v>
      </c>
      <c r="D312" s="8">
        <v>28</v>
      </c>
      <c r="E312" s="8" t="s">
        <v>523</v>
      </c>
      <c r="F312" s="8">
        <v>74939</v>
      </c>
      <c r="G312" s="8">
        <v>2020</v>
      </c>
      <c r="H312" s="1" t="str">
        <f t="shared" si="8"/>
        <v>Mature (22-28nm)</v>
      </c>
      <c r="I312" s="1" t="str">
        <f t="shared" si="9"/>
        <v>China</v>
      </c>
    </row>
    <row r="313" spans="1:9">
      <c r="A313" s="8">
        <v>2025</v>
      </c>
      <c r="B313" s="8" t="s">
        <v>197</v>
      </c>
      <c r="C313" s="8" t="s">
        <v>125</v>
      </c>
      <c r="D313" s="8">
        <v>28</v>
      </c>
      <c r="E313" s="8" t="s">
        <v>523</v>
      </c>
      <c r="F313" s="8">
        <v>72635</v>
      </c>
      <c r="G313" s="8">
        <v>2020</v>
      </c>
      <c r="H313" s="1" t="str">
        <f t="shared" si="8"/>
        <v>Mature (22-28nm)</v>
      </c>
      <c r="I313" s="1" t="str">
        <f t="shared" si="9"/>
        <v>China</v>
      </c>
    </row>
    <row r="314" spans="1:9">
      <c r="A314" s="8">
        <v>2026</v>
      </c>
      <c r="B314" s="8" t="s">
        <v>197</v>
      </c>
      <c r="C314" s="8" t="s">
        <v>125</v>
      </c>
      <c r="D314" s="8">
        <v>28</v>
      </c>
      <c r="E314" s="8" t="s">
        <v>523</v>
      </c>
      <c r="F314" s="8">
        <v>70440</v>
      </c>
      <c r="G314" s="8">
        <v>2020</v>
      </c>
      <c r="H314" s="1" t="str">
        <f t="shared" si="8"/>
        <v>Mature (22-28nm)</v>
      </c>
      <c r="I314" s="1" t="str">
        <f t="shared" si="9"/>
        <v>China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146"/>
  <sheetViews>
    <sheetView workbookViewId="0">
      <selection activeCell="B20" sqref="B20"/>
    </sheetView>
  </sheetViews>
  <sheetFormatPr defaultColWidth="8.88671875" defaultRowHeight="14.4"/>
  <cols>
    <col min="1" max="1" width="35.44140625" style="1"/>
    <col min="2" max="2" width="32.6640625" style="1"/>
    <col min="3" max="41" width="24.44140625"/>
    <col min="42" max="42" width="11.44140625"/>
  </cols>
  <sheetData>
    <row r="1" spans="1:9">
      <c r="A1" s="1" t="s">
        <v>532</v>
      </c>
      <c r="B1" s="1" t="s">
        <v>533</v>
      </c>
    </row>
    <row r="2" spans="1:9">
      <c r="A2" s="2" t="s">
        <v>534</v>
      </c>
      <c r="B2" s="2">
        <f>SUMIFS(RAW_Fin!F:F,RAW_Fin!A:A,"2024",RAW_Fin!K:K,"Actual")</f>
        <v>828.51</v>
      </c>
    </row>
    <row r="3" spans="1:9">
      <c r="A3" s="2" t="s">
        <v>535</v>
      </c>
      <c r="B3" s="1">
        <f>_xlfn.MAXIFS(RAW_Fin!G:G,RAW_Fin!A:A,"2024",RAW_Fin!K:K,"Actual")</f>
        <v>59.5</v>
      </c>
    </row>
    <row r="4" spans="1:9">
      <c r="A4" s="2" t="s">
        <v>536</v>
      </c>
      <c r="B4" s="1">
        <f>_xlfn.MAXIFS(RAW_Price!F:F,RAW_Price!C:C,"NVIDIA_H100")</f>
        <v>35640.01</v>
      </c>
    </row>
    <row r="5" spans="1:9">
      <c r="A5" s="2" t="s">
        <v>537</v>
      </c>
      <c r="B5" s="1">
        <f>COUNTA(RAW_Export!A:A)-1</f>
        <v>34</v>
      </c>
    </row>
    <row r="8" spans="1:9">
      <c r="A8" s="3" t="s">
        <v>538</v>
      </c>
    </row>
    <row r="9" spans="1:9">
      <c r="A9" t="s">
        <v>539</v>
      </c>
      <c r="B9" t="s">
        <v>15</v>
      </c>
    </row>
    <row r="10" spans="1:9">
      <c r="A10" t="s">
        <v>17</v>
      </c>
      <c r="B10">
        <v>2020</v>
      </c>
      <c r="C10">
        <v>2021</v>
      </c>
      <c r="D10">
        <v>2022</v>
      </c>
      <c r="E10">
        <v>2023</v>
      </c>
      <c r="F10">
        <v>2024</v>
      </c>
      <c r="G10">
        <v>2025</v>
      </c>
      <c r="H10">
        <v>2026</v>
      </c>
      <c r="I10" t="s">
        <v>540</v>
      </c>
    </row>
    <row r="11" spans="1:9">
      <c r="A11" t="s">
        <v>46</v>
      </c>
      <c r="B11"/>
      <c r="C11">
        <v>0.3</v>
      </c>
      <c r="D11">
        <v>15.4</v>
      </c>
      <c r="E11">
        <v>10.7</v>
      </c>
      <c r="F11">
        <v>7518.2</v>
      </c>
      <c r="G11">
        <v>7812.5</v>
      </c>
      <c r="H11">
        <v>3809.5</v>
      </c>
      <c r="I11">
        <v>19166.599999999999</v>
      </c>
    </row>
    <row r="12" spans="1:9">
      <c r="A12" t="s">
        <v>68</v>
      </c>
      <c r="B12"/>
      <c r="D12">
        <v>0</v>
      </c>
      <c r="E12">
        <v>2737.8</v>
      </c>
      <c r="F12">
        <v>1671.6</v>
      </c>
      <c r="G12">
        <v>2008.9</v>
      </c>
      <c r="H12">
        <v>1555.5</v>
      </c>
      <c r="I12">
        <v>7973.8</v>
      </c>
    </row>
    <row r="13" spans="1:9">
      <c r="A13" t="s">
        <v>55</v>
      </c>
      <c r="B13">
        <v>11.2</v>
      </c>
      <c r="C13">
        <v>7.6</v>
      </c>
      <c r="D13">
        <v>20.3</v>
      </c>
      <c r="E13">
        <v>914.1</v>
      </c>
      <c r="F13">
        <v>11431.3</v>
      </c>
      <c r="G13">
        <v>7379.7</v>
      </c>
      <c r="H13">
        <v>3601.6</v>
      </c>
      <c r="I13">
        <v>23365.8</v>
      </c>
    </row>
    <row r="14" spans="1:9">
      <c r="A14" t="s">
        <v>85</v>
      </c>
      <c r="B14">
        <v>16.2</v>
      </c>
      <c r="C14">
        <v>12.2</v>
      </c>
      <c r="D14">
        <v>5.0999999999999996</v>
      </c>
      <c r="E14">
        <v>477.9</v>
      </c>
      <c r="F14">
        <v>4981.7</v>
      </c>
      <c r="G14">
        <v>4195</v>
      </c>
      <c r="H14">
        <v>2019.4</v>
      </c>
      <c r="I14">
        <v>11707.5</v>
      </c>
    </row>
    <row r="15" spans="1:9">
      <c r="A15" t="s">
        <v>29</v>
      </c>
      <c r="B15">
        <v>572.70000000000005</v>
      </c>
      <c r="C15">
        <v>3115.6</v>
      </c>
      <c r="D15">
        <v>2226.6</v>
      </c>
      <c r="E15">
        <v>19454</v>
      </c>
      <c r="F15">
        <v>83456.800000000003</v>
      </c>
      <c r="G15">
        <v>87834</v>
      </c>
      <c r="H15">
        <v>57404.800000000003</v>
      </c>
      <c r="I15">
        <v>254064.5</v>
      </c>
    </row>
    <row r="16" spans="1:9">
      <c r="A16" t="s">
        <v>540</v>
      </c>
      <c r="B16">
        <v>600.1</v>
      </c>
      <c r="C16">
        <v>3135.7</v>
      </c>
      <c r="D16">
        <v>2267.4</v>
      </c>
      <c r="E16">
        <v>23594.5</v>
      </c>
      <c r="F16">
        <v>109059.6</v>
      </c>
      <c r="G16">
        <v>109230.1</v>
      </c>
      <c r="H16">
        <v>68390.8</v>
      </c>
      <c r="I16">
        <v>316278.2</v>
      </c>
    </row>
    <row r="17" spans="1:42">
      <c r="A17"/>
      <c r="B17"/>
    </row>
    <row r="18" spans="1:42">
      <c r="A18"/>
      <c r="B18"/>
    </row>
    <row r="19" spans="1:42">
      <c r="A19"/>
      <c r="B19"/>
    </row>
    <row r="20" spans="1:42">
      <c r="A20"/>
      <c r="B20"/>
    </row>
    <row r="21" spans="1:42">
      <c r="A21"/>
      <c r="B21"/>
    </row>
    <row r="22" spans="1:42">
      <c r="A22"/>
      <c r="B22"/>
    </row>
    <row r="23" spans="1:42">
      <c r="A23"/>
      <c r="B23"/>
    </row>
    <row r="24" spans="1:42">
      <c r="A24"/>
      <c r="B24"/>
    </row>
    <row r="25" spans="1:42">
      <c r="A25" t="s">
        <v>108</v>
      </c>
      <c r="B25" t="s">
        <v>541</v>
      </c>
    </row>
    <row r="26" spans="1:42">
      <c r="A26" s="3" t="s">
        <v>542</v>
      </c>
      <c r="B26"/>
    </row>
    <row r="27" spans="1:42">
      <c r="A27" t="s">
        <v>543</v>
      </c>
      <c r="B27" t="s">
        <v>99</v>
      </c>
    </row>
    <row r="28" spans="1:42">
      <c r="A28" t="s">
        <v>15</v>
      </c>
      <c r="B28" t="s">
        <v>46</v>
      </c>
      <c r="C28" t="s">
        <v>151</v>
      </c>
      <c r="D28" t="s">
        <v>174</v>
      </c>
      <c r="E28" t="s">
        <v>172</v>
      </c>
      <c r="F28" t="s">
        <v>132</v>
      </c>
      <c r="G28" t="s">
        <v>189</v>
      </c>
      <c r="H28" t="s">
        <v>198</v>
      </c>
      <c r="I28" t="s">
        <v>195</v>
      </c>
      <c r="J28" t="s">
        <v>119</v>
      </c>
      <c r="K28" t="s">
        <v>201</v>
      </c>
      <c r="L28" t="s">
        <v>76</v>
      </c>
      <c r="M28" t="s">
        <v>191</v>
      </c>
      <c r="N28" t="s">
        <v>197</v>
      </c>
      <c r="O28" t="s">
        <v>153</v>
      </c>
      <c r="P28" t="s">
        <v>139</v>
      </c>
      <c r="Q28" t="s">
        <v>180</v>
      </c>
      <c r="R28" t="s">
        <v>177</v>
      </c>
      <c r="S28" t="s">
        <v>136</v>
      </c>
      <c r="T28" t="s">
        <v>135</v>
      </c>
      <c r="U28" t="s">
        <v>166</v>
      </c>
      <c r="V28" t="s">
        <v>146</v>
      </c>
      <c r="W28" t="s">
        <v>29</v>
      </c>
      <c r="X28" t="s">
        <v>161</v>
      </c>
      <c r="Y28" t="s">
        <v>169</v>
      </c>
      <c r="Z28" t="s">
        <v>129</v>
      </c>
      <c r="AA28" t="s">
        <v>164</v>
      </c>
      <c r="AB28" t="s">
        <v>79</v>
      </c>
      <c r="AC28" t="s">
        <v>116</v>
      </c>
      <c r="AD28" t="s">
        <v>142</v>
      </c>
      <c r="AE28" t="s">
        <v>184</v>
      </c>
      <c r="AF28" t="s">
        <v>144</v>
      </c>
      <c r="AG28" t="s">
        <v>123</v>
      </c>
      <c r="AH28" t="s">
        <v>157</v>
      </c>
      <c r="AI28" t="s">
        <v>186</v>
      </c>
      <c r="AJ28" t="s">
        <v>82</v>
      </c>
      <c r="AK28" t="s">
        <v>148</v>
      </c>
      <c r="AL28" t="s">
        <v>183</v>
      </c>
      <c r="AM28" t="s">
        <v>112</v>
      </c>
      <c r="AN28" t="s">
        <v>122</v>
      </c>
      <c r="AO28" t="s">
        <v>193</v>
      </c>
      <c r="AP28" t="s">
        <v>540</v>
      </c>
    </row>
    <row r="29" spans="1:42">
      <c r="A29">
        <v>2010</v>
      </c>
      <c r="B29">
        <v>6.11</v>
      </c>
      <c r="C29">
        <v>2.88</v>
      </c>
      <c r="D29">
        <v>9.39</v>
      </c>
      <c r="E29">
        <v>6.65</v>
      </c>
      <c r="F29">
        <v>2.99</v>
      </c>
      <c r="G29">
        <v>0.95</v>
      </c>
      <c r="J29">
        <v>3.59</v>
      </c>
      <c r="M29">
        <v>0.96</v>
      </c>
      <c r="N29">
        <v>0.63</v>
      </c>
      <c r="O29">
        <v>4.57</v>
      </c>
      <c r="P29">
        <v>44.33</v>
      </c>
      <c r="Q29">
        <v>1.74</v>
      </c>
      <c r="R29">
        <v>2.57</v>
      </c>
      <c r="S29">
        <v>3.36</v>
      </c>
      <c r="T29">
        <v>3.56</v>
      </c>
      <c r="U29">
        <v>1.49</v>
      </c>
      <c r="V29">
        <v>8.7799999999999994</v>
      </c>
      <c r="W29">
        <v>3.43</v>
      </c>
      <c r="X29">
        <v>4.4800000000000004</v>
      </c>
      <c r="Y29">
        <v>2.27</v>
      </c>
      <c r="Z29">
        <v>10.65</v>
      </c>
      <c r="AA29">
        <v>12.3</v>
      </c>
      <c r="AC29">
        <v>3.06</v>
      </c>
      <c r="AD29">
        <v>31.08</v>
      </c>
      <c r="AE29">
        <v>1.83</v>
      </c>
      <c r="AF29">
        <v>10.61</v>
      </c>
      <c r="AG29">
        <v>1.62</v>
      </c>
      <c r="AH29">
        <v>9.8699999999999992</v>
      </c>
      <c r="AI29">
        <v>1.34</v>
      </c>
      <c r="AK29">
        <v>13.26</v>
      </c>
      <c r="AL29">
        <v>6.88</v>
      </c>
      <c r="AM29">
        <v>13.42</v>
      </c>
      <c r="AN29">
        <v>4.3499999999999996</v>
      </c>
      <c r="AP29">
        <v>235</v>
      </c>
    </row>
    <row r="30" spans="1:42">
      <c r="A30">
        <v>2011</v>
      </c>
      <c r="B30">
        <v>5.85</v>
      </c>
      <c r="C30">
        <v>3.02</v>
      </c>
      <c r="D30">
        <v>9.56</v>
      </c>
      <c r="E30">
        <v>6.44</v>
      </c>
      <c r="F30">
        <v>3.94</v>
      </c>
      <c r="G30">
        <v>1.1100000000000001</v>
      </c>
      <c r="J30">
        <v>3.66</v>
      </c>
      <c r="M30">
        <v>1.61</v>
      </c>
      <c r="N30">
        <v>0.62</v>
      </c>
      <c r="O30">
        <v>4.54</v>
      </c>
      <c r="P30">
        <v>45.66</v>
      </c>
      <c r="Q30">
        <v>2.08</v>
      </c>
      <c r="R30">
        <v>3.23</v>
      </c>
      <c r="S30">
        <v>3.43</v>
      </c>
      <c r="T30">
        <v>4.2300000000000004</v>
      </c>
      <c r="U30">
        <v>1.56</v>
      </c>
      <c r="V30">
        <v>10.039999999999999</v>
      </c>
      <c r="W30">
        <v>3.75</v>
      </c>
      <c r="X30">
        <v>4.76</v>
      </c>
      <c r="Y30">
        <v>2.54</v>
      </c>
      <c r="Z30">
        <v>13.44</v>
      </c>
      <c r="AA30">
        <v>11.42</v>
      </c>
      <c r="AC30">
        <v>3.69</v>
      </c>
      <c r="AD30">
        <v>32.71</v>
      </c>
      <c r="AE30">
        <v>1.86</v>
      </c>
      <c r="AF30">
        <v>11.58</v>
      </c>
      <c r="AG30">
        <v>1.83</v>
      </c>
      <c r="AH30">
        <v>9.41</v>
      </c>
      <c r="AI30">
        <v>1.55</v>
      </c>
      <c r="AK30">
        <v>13.76</v>
      </c>
      <c r="AL30">
        <v>6.28</v>
      </c>
      <c r="AM30">
        <v>16.32</v>
      </c>
      <c r="AN30">
        <v>4.32</v>
      </c>
      <c r="AP30">
        <v>249.8</v>
      </c>
    </row>
    <row r="31" spans="1:42">
      <c r="A31">
        <v>2012</v>
      </c>
      <c r="B31">
        <v>5.36</v>
      </c>
      <c r="C31">
        <v>3.17</v>
      </c>
      <c r="D31">
        <v>9.32</v>
      </c>
      <c r="E31">
        <v>6.59</v>
      </c>
      <c r="F31">
        <v>4.42</v>
      </c>
      <c r="G31">
        <v>1.17</v>
      </c>
      <c r="J31">
        <v>3.99</v>
      </c>
      <c r="M31">
        <v>2.21</v>
      </c>
      <c r="N31">
        <v>0.62</v>
      </c>
      <c r="O31">
        <v>5.1100000000000003</v>
      </c>
      <c r="P31">
        <v>50.66</v>
      </c>
      <c r="Q31">
        <v>2.04</v>
      </c>
      <c r="R31">
        <v>3.71</v>
      </c>
      <c r="S31">
        <v>3.4</v>
      </c>
      <c r="T31">
        <v>4.8899999999999997</v>
      </c>
      <c r="U31">
        <v>1.76</v>
      </c>
      <c r="V31">
        <v>11.66</v>
      </c>
      <c r="W31">
        <v>3.95</v>
      </c>
      <c r="X31">
        <v>5.37</v>
      </c>
      <c r="Y31">
        <v>2.7</v>
      </c>
      <c r="Z31">
        <v>15.75</v>
      </c>
      <c r="AA31">
        <v>9.8699999999999992</v>
      </c>
      <c r="AC31">
        <v>4.29</v>
      </c>
      <c r="AD31">
        <v>34.69</v>
      </c>
      <c r="AE31">
        <v>1.97</v>
      </c>
      <c r="AF31">
        <v>13.32</v>
      </c>
      <c r="AG31">
        <v>1.86</v>
      </c>
      <c r="AH31">
        <v>9.17</v>
      </c>
      <c r="AI31">
        <v>1.77</v>
      </c>
      <c r="AK31">
        <v>13.87</v>
      </c>
      <c r="AL31">
        <v>6.1</v>
      </c>
      <c r="AM31">
        <v>17.559999999999999</v>
      </c>
      <c r="AN31">
        <v>4.3499999999999996</v>
      </c>
      <c r="AP31">
        <v>266.67</v>
      </c>
    </row>
    <row r="32" spans="1:42">
      <c r="A32">
        <v>2013</v>
      </c>
      <c r="B32">
        <v>5.14</v>
      </c>
      <c r="C32">
        <v>3.24</v>
      </c>
      <c r="D32">
        <v>9.1199999999999992</v>
      </c>
      <c r="E32">
        <v>6.51</v>
      </c>
      <c r="F32">
        <v>5.47</v>
      </c>
      <c r="G32">
        <v>1.31</v>
      </c>
      <c r="J32">
        <v>4.42</v>
      </c>
      <c r="M32">
        <v>2.79</v>
      </c>
      <c r="N32">
        <v>0.65</v>
      </c>
      <c r="O32">
        <v>5.56</v>
      </c>
      <c r="P32">
        <v>50.78</v>
      </c>
      <c r="Q32">
        <v>2.34</v>
      </c>
      <c r="R32">
        <v>4.26</v>
      </c>
      <c r="S32">
        <v>3.01</v>
      </c>
      <c r="T32">
        <v>5.56</v>
      </c>
      <c r="U32">
        <v>1.91</v>
      </c>
      <c r="V32">
        <v>13.16</v>
      </c>
      <c r="W32">
        <v>4.6100000000000003</v>
      </c>
      <c r="X32">
        <v>5.7</v>
      </c>
      <c r="Y32">
        <v>3.19</v>
      </c>
      <c r="Z32">
        <v>20.68</v>
      </c>
      <c r="AA32">
        <v>9.2200000000000006</v>
      </c>
      <c r="AC32">
        <v>5.21</v>
      </c>
      <c r="AD32">
        <v>36.29</v>
      </c>
      <c r="AE32">
        <v>2.1</v>
      </c>
      <c r="AF32">
        <v>14.58</v>
      </c>
      <c r="AG32">
        <v>1.84</v>
      </c>
      <c r="AH32">
        <v>8.17</v>
      </c>
      <c r="AI32">
        <v>1.98</v>
      </c>
      <c r="AK32">
        <v>13.63</v>
      </c>
      <c r="AL32">
        <v>5.79</v>
      </c>
      <c r="AM32">
        <v>21.36</v>
      </c>
      <c r="AN32">
        <v>4.6399999999999997</v>
      </c>
      <c r="AP32">
        <v>284.22000000000003</v>
      </c>
    </row>
    <row r="33" spans="1:42">
      <c r="A33">
        <v>2014</v>
      </c>
      <c r="B33">
        <v>4.5</v>
      </c>
      <c r="C33">
        <v>3.33</v>
      </c>
      <c r="D33">
        <v>8.91</v>
      </c>
      <c r="E33">
        <v>6.71</v>
      </c>
      <c r="F33">
        <v>6.13</v>
      </c>
      <c r="G33">
        <v>1.55</v>
      </c>
      <c r="J33">
        <v>4.6399999999999997</v>
      </c>
      <c r="M33">
        <v>3.35</v>
      </c>
      <c r="N33">
        <v>0.68</v>
      </c>
      <c r="O33">
        <v>5.52</v>
      </c>
      <c r="P33">
        <v>50.47</v>
      </c>
      <c r="Q33">
        <v>2.57</v>
      </c>
      <c r="R33">
        <v>4.49</v>
      </c>
      <c r="S33">
        <v>2.75</v>
      </c>
      <c r="T33">
        <v>5.99</v>
      </c>
      <c r="U33">
        <v>1.92</v>
      </c>
      <c r="V33">
        <v>14.64</v>
      </c>
      <c r="W33">
        <v>4.68</v>
      </c>
      <c r="X33">
        <v>5.86</v>
      </c>
      <c r="Y33">
        <v>3.17</v>
      </c>
      <c r="Z33">
        <v>21.48</v>
      </c>
      <c r="AA33">
        <v>7.89</v>
      </c>
      <c r="AC33">
        <v>5.69</v>
      </c>
      <c r="AD33">
        <v>39.06</v>
      </c>
      <c r="AE33">
        <v>2.31</v>
      </c>
      <c r="AF33">
        <v>15.24</v>
      </c>
      <c r="AG33">
        <v>2.0299999999999998</v>
      </c>
      <c r="AH33">
        <v>7.56</v>
      </c>
      <c r="AI33">
        <v>2.0299999999999998</v>
      </c>
      <c r="AK33">
        <v>13.54</v>
      </c>
      <c r="AL33">
        <v>5.53</v>
      </c>
      <c r="AM33">
        <v>23.93</v>
      </c>
      <c r="AN33">
        <v>4.62</v>
      </c>
      <c r="AP33">
        <v>292.77</v>
      </c>
    </row>
    <row r="34" spans="1:42">
      <c r="A34">
        <v>2015</v>
      </c>
      <c r="B34">
        <v>3.96</v>
      </c>
      <c r="C34">
        <v>3.39</v>
      </c>
      <c r="D34">
        <v>9.41</v>
      </c>
      <c r="E34">
        <v>7.11</v>
      </c>
      <c r="F34">
        <v>6.99</v>
      </c>
      <c r="G34">
        <v>1.76</v>
      </c>
      <c r="J34">
        <v>5.09</v>
      </c>
      <c r="M34">
        <v>3.92</v>
      </c>
      <c r="N34">
        <v>0.7</v>
      </c>
      <c r="O34">
        <v>6.04</v>
      </c>
      <c r="P34">
        <v>52.71</v>
      </c>
      <c r="Q34">
        <v>2.77</v>
      </c>
      <c r="R34">
        <v>5.15</v>
      </c>
      <c r="S34">
        <v>2.73</v>
      </c>
      <c r="T34">
        <v>6.41</v>
      </c>
      <c r="U34">
        <v>2.14</v>
      </c>
      <c r="V34">
        <v>15.83</v>
      </c>
      <c r="W34">
        <v>5.2</v>
      </c>
      <c r="X34">
        <v>5.94</v>
      </c>
      <c r="Y34">
        <v>3.57</v>
      </c>
      <c r="Z34">
        <v>27.28</v>
      </c>
      <c r="AA34">
        <v>7.07</v>
      </c>
      <c r="AC34">
        <v>6.52</v>
      </c>
      <c r="AD34">
        <v>38.92</v>
      </c>
      <c r="AE34">
        <v>2.23</v>
      </c>
      <c r="AF34">
        <v>17.489999999999998</v>
      </c>
      <c r="AG34">
        <v>2.16</v>
      </c>
      <c r="AH34">
        <v>7.06</v>
      </c>
      <c r="AI34">
        <v>2.25</v>
      </c>
      <c r="AK34">
        <v>12.63</v>
      </c>
      <c r="AL34">
        <v>5.26</v>
      </c>
      <c r="AM34">
        <v>27.31</v>
      </c>
      <c r="AN34">
        <v>4.5199999999999996</v>
      </c>
      <c r="AP34">
        <v>311.52</v>
      </c>
    </row>
    <row r="35" spans="1:42">
      <c r="A35">
        <v>2016</v>
      </c>
      <c r="B35">
        <v>4.91</v>
      </c>
      <c r="C35">
        <v>4.24</v>
      </c>
      <c r="D35">
        <v>12.27</v>
      </c>
      <c r="E35">
        <v>8.2100000000000009</v>
      </c>
      <c r="F35">
        <v>11.09</v>
      </c>
      <c r="G35">
        <v>1.81</v>
      </c>
      <c r="J35">
        <v>5.47</v>
      </c>
      <c r="M35">
        <v>5</v>
      </c>
      <c r="N35">
        <v>0.76</v>
      </c>
      <c r="O35">
        <v>6.56</v>
      </c>
      <c r="P35">
        <v>61.27</v>
      </c>
      <c r="Q35">
        <v>3.14</v>
      </c>
      <c r="R35">
        <v>7.22</v>
      </c>
      <c r="S35">
        <v>2.56</v>
      </c>
      <c r="T35">
        <v>7</v>
      </c>
      <c r="U35">
        <v>2.82</v>
      </c>
      <c r="V35">
        <v>20.41</v>
      </c>
      <c r="W35">
        <v>6.49</v>
      </c>
      <c r="X35">
        <v>7.47</v>
      </c>
      <c r="Y35">
        <v>4.46</v>
      </c>
      <c r="Z35">
        <v>23.97</v>
      </c>
      <c r="AA35">
        <v>7.2</v>
      </c>
      <c r="AC35">
        <v>8.5500000000000007</v>
      </c>
      <c r="AD35">
        <v>52.14</v>
      </c>
      <c r="AE35">
        <v>2.5</v>
      </c>
      <c r="AF35">
        <v>22.88</v>
      </c>
      <c r="AG35">
        <v>2.68</v>
      </c>
      <c r="AH35">
        <v>7.98</v>
      </c>
      <c r="AI35">
        <v>2.5099999999999998</v>
      </c>
      <c r="AK35">
        <v>14.5</v>
      </c>
      <c r="AL35">
        <v>7.3</v>
      </c>
      <c r="AM35">
        <v>29.19</v>
      </c>
      <c r="AN35">
        <v>4.71</v>
      </c>
      <c r="AP35">
        <v>369.27</v>
      </c>
    </row>
    <row r="36" spans="1:42">
      <c r="A36">
        <v>2017</v>
      </c>
      <c r="B36">
        <v>5.64</v>
      </c>
      <c r="C36">
        <v>5.07</v>
      </c>
      <c r="D36">
        <v>14.44</v>
      </c>
      <c r="E36">
        <v>10.65</v>
      </c>
      <c r="F36">
        <v>16.260000000000002</v>
      </c>
      <c r="G36">
        <v>1.94</v>
      </c>
      <c r="J36">
        <v>5.74</v>
      </c>
      <c r="M36">
        <v>6.61</v>
      </c>
      <c r="N36">
        <v>0.88</v>
      </c>
      <c r="O36">
        <v>8.0299999999999994</v>
      </c>
      <c r="P36">
        <v>66.180000000000007</v>
      </c>
      <c r="Q36">
        <v>3.65</v>
      </c>
      <c r="R36">
        <v>8.98</v>
      </c>
      <c r="S36">
        <v>2.58</v>
      </c>
      <c r="T36">
        <v>7.37</v>
      </c>
      <c r="U36">
        <v>3.29</v>
      </c>
      <c r="V36">
        <v>26.52</v>
      </c>
      <c r="W36">
        <v>8.24</v>
      </c>
      <c r="X36">
        <v>7.89</v>
      </c>
      <c r="Y36">
        <v>5.21</v>
      </c>
      <c r="Z36">
        <v>24.72</v>
      </c>
      <c r="AA36">
        <v>6.83</v>
      </c>
      <c r="AC36">
        <v>10.38</v>
      </c>
      <c r="AD36">
        <v>63.85</v>
      </c>
      <c r="AE36">
        <v>2.68</v>
      </c>
      <c r="AF36">
        <v>30.12</v>
      </c>
      <c r="AG36">
        <v>2.99</v>
      </c>
      <c r="AH36">
        <v>8.6300000000000008</v>
      </c>
      <c r="AI36">
        <v>2.8</v>
      </c>
      <c r="AK36">
        <v>15.51</v>
      </c>
      <c r="AL36">
        <v>9.6300000000000008</v>
      </c>
      <c r="AM36">
        <v>32.11</v>
      </c>
      <c r="AN36">
        <v>4.83</v>
      </c>
      <c r="AO36">
        <v>0.1</v>
      </c>
      <c r="AP36">
        <v>430.35</v>
      </c>
    </row>
    <row r="37" spans="1:42">
      <c r="A37">
        <v>2018</v>
      </c>
      <c r="B37">
        <v>6.46</v>
      </c>
      <c r="C37">
        <v>6.19</v>
      </c>
      <c r="D37">
        <v>16.14</v>
      </c>
      <c r="E37">
        <v>12.38</v>
      </c>
      <c r="F37">
        <v>20.62</v>
      </c>
      <c r="G37">
        <v>2.16</v>
      </c>
      <c r="I37">
        <v>0.31</v>
      </c>
      <c r="J37">
        <v>5.98</v>
      </c>
      <c r="M37">
        <v>7.46</v>
      </c>
      <c r="N37">
        <v>0.85</v>
      </c>
      <c r="O37">
        <v>8.08</v>
      </c>
      <c r="P37">
        <v>66.06</v>
      </c>
      <c r="Q37">
        <v>4.05</v>
      </c>
      <c r="R37">
        <v>10.66</v>
      </c>
      <c r="S37">
        <v>2.42</v>
      </c>
      <c r="T37">
        <v>7.87</v>
      </c>
      <c r="U37">
        <v>4.05</v>
      </c>
      <c r="V37">
        <v>30.14</v>
      </c>
      <c r="W37">
        <v>9.75</v>
      </c>
      <c r="X37">
        <v>9.15</v>
      </c>
      <c r="Y37">
        <v>5.96</v>
      </c>
      <c r="Z37">
        <v>22.53</v>
      </c>
      <c r="AA37">
        <v>6.53</v>
      </c>
      <c r="AC37">
        <v>12.1</v>
      </c>
      <c r="AD37">
        <v>75.95</v>
      </c>
      <c r="AE37">
        <v>2.98</v>
      </c>
      <c r="AF37">
        <v>35.86</v>
      </c>
      <c r="AG37">
        <v>3.23</v>
      </c>
      <c r="AH37">
        <v>9.3000000000000007</v>
      </c>
      <c r="AI37">
        <v>3.06</v>
      </c>
      <c r="AK37">
        <v>16.5</v>
      </c>
      <c r="AL37">
        <v>11.41</v>
      </c>
      <c r="AM37">
        <v>34.58</v>
      </c>
      <c r="AN37">
        <v>5.14</v>
      </c>
      <c r="AO37">
        <v>0.28999999999999998</v>
      </c>
      <c r="AP37">
        <v>476.2</v>
      </c>
    </row>
    <row r="38" spans="1:42">
      <c r="A38">
        <v>2019</v>
      </c>
      <c r="B38">
        <v>8.19</v>
      </c>
      <c r="C38">
        <v>5.91</v>
      </c>
      <c r="D38">
        <v>16.57</v>
      </c>
      <c r="E38">
        <v>13.65</v>
      </c>
      <c r="F38">
        <v>22.18</v>
      </c>
      <c r="G38">
        <v>2.46</v>
      </c>
      <c r="H38">
        <v>0</v>
      </c>
      <c r="I38">
        <v>0.94</v>
      </c>
      <c r="J38">
        <v>5.47</v>
      </c>
      <c r="K38">
        <v>0</v>
      </c>
      <c r="M38">
        <v>9.19</v>
      </c>
      <c r="N38">
        <v>0.93</v>
      </c>
      <c r="O38">
        <v>8.57</v>
      </c>
      <c r="P38">
        <v>73.31</v>
      </c>
      <c r="Q38">
        <v>4.88</v>
      </c>
      <c r="R38">
        <v>10.37</v>
      </c>
      <c r="S38">
        <v>2.63</v>
      </c>
      <c r="T38">
        <v>9.77</v>
      </c>
      <c r="U38">
        <v>4.7300000000000004</v>
      </c>
      <c r="V38">
        <v>25.66</v>
      </c>
      <c r="W38">
        <v>12.67</v>
      </c>
      <c r="X38">
        <v>8.98</v>
      </c>
      <c r="Y38">
        <v>5.61</v>
      </c>
      <c r="Z38">
        <v>23.4</v>
      </c>
      <c r="AA38">
        <v>6.62</v>
      </c>
      <c r="AC38">
        <v>12.78</v>
      </c>
      <c r="AD38">
        <v>74.27</v>
      </c>
      <c r="AE38">
        <v>2.78</v>
      </c>
      <c r="AF38">
        <v>32.299999999999997</v>
      </c>
      <c r="AG38">
        <v>3.64</v>
      </c>
      <c r="AH38">
        <v>10.39</v>
      </c>
      <c r="AI38">
        <v>3.4</v>
      </c>
      <c r="AK38">
        <v>15.27</v>
      </c>
      <c r="AL38">
        <v>10.82</v>
      </c>
      <c r="AM38">
        <v>40.909999999999997</v>
      </c>
      <c r="AN38">
        <v>5.29</v>
      </c>
      <c r="AO38">
        <v>0.51</v>
      </c>
      <c r="AP38">
        <v>495.05</v>
      </c>
    </row>
    <row r="39" spans="1:42">
      <c r="A39">
        <v>2020</v>
      </c>
      <c r="B39">
        <v>9.83</v>
      </c>
      <c r="C39">
        <v>5.75</v>
      </c>
      <c r="D39">
        <v>17.03</v>
      </c>
      <c r="E39">
        <v>16.170000000000002</v>
      </c>
      <c r="F39">
        <v>24.98</v>
      </c>
      <c r="G39">
        <v>2.62</v>
      </c>
      <c r="H39">
        <v>0</v>
      </c>
      <c r="I39">
        <v>1.45</v>
      </c>
      <c r="J39">
        <v>4.97</v>
      </c>
      <c r="K39">
        <v>0</v>
      </c>
      <c r="L39">
        <v>0</v>
      </c>
      <c r="M39">
        <v>10.7</v>
      </c>
      <c r="N39">
        <v>0.97</v>
      </c>
      <c r="O39">
        <v>9.07</v>
      </c>
      <c r="P39">
        <v>79.56</v>
      </c>
      <c r="Q39">
        <v>5.69</v>
      </c>
      <c r="R39">
        <v>10.08</v>
      </c>
      <c r="S39">
        <v>2.99</v>
      </c>
      <c r="T39">
        <v>10.4</v>
      </c>
      <c r="U39">
        <v>5.34</v>
      </c>
      <c r="V39">
        <v>20.260000000000002</v>
      </c>
      <c r="W39">
        <v>17.59</v>
      </c>
      <c r="X39">
        <v>8.19</v>
      </c>
      <c r="Y39">
        <v>5.0999999999999996</v>
      </c>
      <c r="Z39">
        <v>23.41</v>
      </c>
      <c r="AA39">
        <v>6.82</v>
      </c>
      <c r="AB39">
        <v>0</v>
      </c>
      <c r="AC39">
        <v>14.49</v>
      </c>
      <c r="AD39">
        <v>64.28</v>
      </c>
      <c r="AE39">
        <v>2.72</v>
      </c>
      <c r="AF39">
        <v>27.17</v>
      </c>
      <c r="AG39">
        <v>3.92</v>
      </c>
      <c r="AH39">
        <v>10.08</v>
      </c>
      <c r="AI39">
        <v>3.78</v>
      </c>
      <c r="AJ39">
        <v>0</v>
      </c>
      <c r="AK39">
        <v>14.34</v>
      </c>
      <c r="AL39">
        <v>11.42</v>
      </c>
      <c r="AM39">
        <v>45.25</v>
      </c>
      <c r="AN39">
        <v>6.04</v>
      </c>
      <c r="AO39">
        <v>1.23</v>
      </c>
      <c r="AP39">
        <v>503.69</v>
      </c>
    </row>
    <row r="40" spans="1:42">
      <c r="A40">
        <v>2021</v>
      </c>
      <c r="B40">
        <v>18.010000000000002</v>
      </c>
      <c r="C40">
        <v>8.76</v>
      </c>
      <c r="D40">
        <v>22.72</v>
      </c>
      <c r="E40">
        <v>20.79</v>
      </c>
      <c r="F40">
        <v>28.35</v>
      </c>
      <c r="G40">
        <v>3.22</v>
      </c>
      <c r="H40">
        <v>0.1</v>
      </c>
      <c r="I40">
        <v>2.2599999999999998</v>
      </c>
      <c r="J40">
        <v>6.63</v>
      </c>
      <c r="K40">
        <v>7.0000000000000007E-2</v>
      </c>
      <c r="L40">
        <v>0</v>
      </c>
      <c r="M40">
        <v>6.76</v>
      </c>
      <c r="N40">
        <v>1.78</v>
      </c>
      <c r="O40">
        <v>11.78</v>
      </c>
      <c r="P40">
        <v>72.13</v>
      </c>
      <c r="Q40">
        <v>7.45</v>
      </c>
      <c r="R40">
        <v>13.9</v>
      </c>
      <c r="S40">
        <v>4.59</v>
      </c>
      <c r="T40">
        <v>14.24</v>
      </c>
      <c r="U40">
        <v>7.01</v>
      </c>
      <c r="V40">
        <v>24.59</v>
      </c>
      <c r="W40">
        <v>21.6</v>
      </c>
      <c r="X40">
        <v>10.73</v>
      </c>
      <c r="Y40">
        <v>7.16</v>
      </c>
      <c r="Z40">
        <v>33.61</v>
      </c>
      <c r="AA40">
        <v>8.5299999999999994</v>
      </c>
      <c r="AB40">
        <v>0.02</v>
      </c>
      <c r="AC40">
        <v>16.46</v>
      </c>
      <c r="AD40">
        <v>69.3</v>
      </c>
      <c r="AE40">
        <v>3.2</v>
      </c>
      <c r="AF40">
        <v>30.7</v>
      </c>
      <c r="AG40">
        <v>5.52</v>
      </c>
      <c r="AH40">
        <v>13.03</v>
      </c>
      <c r="AI40">
        <v>4.45</v>
      </c>
      <c r="AJ40">
        <v>0.01</v>
      </c>
      <c r="AK40">
        <v>17.02</v>
      </c>
      <c r="AL40">
        <v>13.79</v>
      </c>
      <c r="AM40">
        <v>62.97</v>
      </c>
      <c r="AN40">
        <v>7.69</v>
      </c>
      <c r="AO40">
        <v>2.1</v>
      </c>
      <c r="AP40">
        <v>603.03</v>
      </c>
    </row>
    <row r="41" spans="1:42">
      <c r="A41">
        <v>2022</v>
      </c>
      <c r="B41">
        <v>23</v>
      </c>
      <c r="C41">
        <v>12.2</v>
      </c>
      <c r="D41">
        <v>27.32</v>
      </c>
      <c r="E41">
        <v>23.9</v>
      </c>
      <c r="F41">
        <v>33.5</v>
      </c>
      <c r="G41">
        <v>3.52</v>
      </c>
      <c r="H41">
        <v>0.22</v>
      </c>
      <c r="I41">
        <v>3.1</v>
      </c>
      <c r="J41">
        <v>8</v>
      </c>
      <c r="K41">
        <v>0.05</v>
      </c>
      <c r="L41">
        <v>0.02</v>
      </c>
      <c r="M41">
        <v>1.97</v>
      </c>
      <c r="N41">
        <v>2.5099999999999998</v>
      </c>
      <c r="O41">
        <v>14.75</v>
      </c>
      <c r="P41">
        <v>64.11</v>
      </c>
      <c r="Q41">
        <v>9.2200000000000006</v>
      </c>
      <c r="R41">
        <v>16.25</v>
      </c>
      <c r="S41">
        <v>5.88</v>
      </c>
      <c r="T41">
        <v>19.46</v>
      </c>
      <c r="U41">
        <v>8</v>
      </c>
      <c r="V41">
        <v>32.090000000000003</v>
      </c>
      <c r="W41">
        <v>26.12</v>
      </c>
      <c r="X41">
        <v>13.51</v>
      </c>
      <c r="Y41">
        <v>8.36</v>
      </c>
      <c r="Z41">
        <v>44.51</v>
      </c>
      <c r="AA41">
        <v>11.35</v>
      </c>
      <c r="AB41">
        <v>0.05</v>
      </c>
      <c r="AC41">
        <v>18.03</v>
      </c>
      <c r="AD41">
        <v>75.7</v>
      </c>
      <c r="AE41">
        <v>4.03</v>
      </c>
      <c r="AF41">
        <v>34.69</v>
      </c>
      <c r="AG41">
        <v>7.09</v>
      </c>
      <c r="AH41">
        <v>16.010000000000002</v>
      </c>
      <c r="AI41">
        <v>4.82</v>
      </c>
      <c r="AJ41">
        <v>0.05</v>
      </c>
      <c r="AK41">
        <v>19.079999999999998</v>
      </c>
      <c r="AL41">
        <v>16.54</v>
      </c>
      <c r="AM41">
        <v>74.930000000000007</v>
      </c>
      <c r="AN41">
        <v>9.4</v>
      </c>
      <c r="AO41">
        <v>4.12</v>
      </c>
      <c r="AP41">
        <v>697.46</v>
      </c>
    </row>
    <row r="42" spans="1:42">
      <c r="A42">
        <v>2023</v>
      </c>
      <c r="B42">
        <v>21.72</v>
      </c>
      <c r="C42">
        <v>11.78</v>
      </c>
      <c r="D42">
        <v>27.93</v>
      </c>
      <c r="E42">
        <v>30.31</v>
      </c>
      <c r="F42">
        <v>33.96</v>
      </c>
      <c r="G42">
        <v>4.03</v>
      </c>
      <c r="H42">
        <v>0.3</v>
      </c>
      <c r="I42">
        <v>4.04</v>
      </c>
      <c r="J42">
        <v>7.03</v>
      </c>
      <c r="K42">
        <v>0.05</v>
      </c>
      <c r="L42">
        <v>0.04</v>
      </c>
      <c r="M42">
        <v>4.03</v>
      </c>
      <c r="N42">
        <v>2.3199999999999998</v>
      </c>
      <c r="O42">
        <v>16.68</v>
      </c>
      <c r="P42">
        <v>53.91</v>
      </c>
      <c r="Q42">
        <v>10.27</v>
      </c>
      <c r="R42">
        <v>17.39</v>
      </c>
      <c r="S42">
        <v>5.38</v>
      </c>
      <c r="T42">
        <v>13.32</v>
      </c>
      <c r="U42">
        <v>7.83</v>
      </c>
      <c r="V42">
        <v>15.17</v>
      </c>
      <c r="W42">
        <v>62.09</v>
      </c>
      <c r="X42">
        <v>13.02</v>
      </c>
      <c r="Y42">
        <v>8.3000000000000007</v>
      </c>
      <c r="Z42">
        <v>36.31</v>
      </c>
      <c r="AA42">
        <v>10.31</v>
      </c>
      <c r="AB42">
        <v>0.1</v>
      </c>
      <c r="AC42">
        <v>12.36</v>
      </c>
      <c r="AD42">
        <v>50.38</v>
      </c>
      <c r="AE42">
        <v>4.22</v>
      </c>
      <c r="AF42">
        <v>25.33</v>
      </c>
      <c r="AG42">
        <v>6.72</v>
      </c>
      <c r="AH42">
        <v>17.600000000000001</v>
      </c>
      <c r="AI42">
        <v>5.71</v>
      </c>
      <c r="AJ42">
        <v>0.1</v>
      </c>
      <c r="AK42">
        <v>17.22</v>
      </c>
      <c r="AL42">
        <v>14.63</v>
      </c>
      <c r="AM42">
        <v>70.42</v>
      </c>
      <c r="AN42">
        <v>6.87</v>
      </c>
      <c r="AO42">
        <v>5.17</v>
      </c>
      <c r="AP42">
        <v>654.35</v>
      </c>
    </row>
    <row r="43" spans="1:42">
      <c r="A43">
        <v>2024</v>
      </c>
      <c r="B43">
        <v>26.05</v>
      </c>
      <c r="C43">
        <v>9.4700000000000006</v>
      </c>
      <c r="D43">
        <v>27.31</v>
      </c>
      <c r="E43">
        <v>31.81</v>
      </c>
      <c r="F43">
        <v>54.34</v>
      </c>
      <c r="G43">
        <v>4.47</v>
      </c>
      <c r="H43">
        <v>0.77</v>
      </c>
      <c r="I43">
        <v>5.07</v>
      </c>
      <c r="J43">
        <v>6.54</v>
      </c>
      <c r="K43">
        <v>0.05</v>
      </c>
      <c r="L43">
        <v>0.48</v>
      </c>
      <c r="M43">
        <v>9.1199999999999992</v>
      </c>
      <c r="N43">
        <v>1.94</v>
      </c>
      <c r="O43">
        <v>15.35</v>
      </c>
      <c r="P43">
        <v>54.42</v>
      </c>
      <c r="Q43">
        <v>9.9600000000000009</v>
      </c>
      <c r="R43">
        <v>14.85</v>
      </c>
      <c r="S43">
        <v>5.84</v>
      </c>
      <c r="T43">
        <v>17.02</v>
      </c>
      <c r="U43">
        <v>4.2699999999999996</v>
      </c>
      <c r="V43">
        <v>22.96</v>
      </c>
      <c r="W43">
        <v>130.47999999999999</v>
      </c>
      <c r="X43">
        <v>12.92</v>
      </c>
      <c r="Y43">
        <v>6.87</v>
      </c>
      <c r="Z43">
        <v>39.18</v>
      </c>
      <c r="AA43">
        <v>9.34</v>
      </c>
      <c r="AB43">
        <v>0.37</v>
      </c>
      <c r="AC43">
        <v>18.09</v>
      </c>
      <c r="AD43">
        <v>74.790000000000006</v>
      </c>
      <c r="AE43">
        <v>4.26</v>
      </c>
      <c r="AF43">
        <v>51.53</v>
      </c>
      <c r="AG43">
        <v>8.1999999999999993</v>
      </c>
      <c r="AH43">
        <v>12.72</v>
      </c>
      <c r="AI43">
        <v>5.91</v>
      </c>
      <c r="AJ43">
        <v>0.31</v>
      </c>
      <c r="AK43">
        <v>14.89</v>
      </c>
      <c r="AL43">
        <v>13.64</v>
      </c>
      <c r="AM43">
        <v>88.89</v>
      </c>
      <c r="AN43">
        <v>7.41</v>
      </c>
      <c r="AO43">
        <v>6.62</v>
      </c>
      <c r="AP43">
        <v>828.51</v>
      </c>
    </row>
    <row r="44" spans="1:42">
      <c r="A44" t="s">
        <v>540</v>
      </c>
      <c r="B44">
        <v>154.72999999999999</v>
      </c>
      <c r="C44">
        <v>88.4</v>
      </c>
      <c r="D44">
        <v>237.44</v>
      </c>
      <c r="E44">
        <v>207.88</v>
      </c>
      <c r="F44">
        <v>275.22000000000003</v>
      </c>
      <c r="G44">
        <v>34.08</v>
      </c>
      <c r="H44">
        <v>1.39</v>
      </c>
      <c r="I44">
        <v>17.170000000000002</v>
      </c>
      <c r="J44">
        <v>81.22</v>
      </c>
      <c r="K44">
        <v>0.22</v>
      </c>
      <c r="L44">
        <v>0.54</v>
      </c>
      <c r="M44">
        <v>75.680000000000007</v>
      </c>
      <c r="N44">
        <v>16.84</v>
      </c>
      <c r="O44">
        <v>130.21</v>
      </c>
      <c r="P44">
        <v>885.56</v>
      </c>
      <c r="Q44">
        <v>71.849999999999994</v>
      </c>
      <c r="R44">
        <v>133.11000000000001</v>
      </c>
      <c r="S44">
        <v>53.55</v>
      </c>
      <c r="T44">
        <v>137.09</v>
      </c>
      <c r="U44">
        <v>58.12</v>
      </c>
      <c r="V44">
        <v>291.91000000000003</v>
      </c>
      <c r="W44">
        <v>320.64999999999998</v>
      </c>
      <c r="X44">
        <v>123.97</v>
      </c>
      <c r="Y44">
        <v>74.47</v>
      </c>
      <c r="Z44">
        <v>380.92</v>
      </c>
      <c r="AA44">
        <v>131.30000000000001</v>
      </c>
      <c r="AB44">
        <v>0.54</v>
      </c>
      <c r="AC44">
        <v>151.69999999999999</v>
      </c>
      <c r="AD44">
        <v>813.41</v>
      </c>
      <c r="AE44">
        <v>41.67</v>
      </c>
      <c r="AF44">
        <v>373.4</v>
      </c>
      <c r="AG44">
        <v>55.33</v>
      </c>
      <c r="AH44">
        <v>156.97999999999999</v>
      </c>
      <c r="AI44">
        <v>47.36</v>
      </c>
      <c r="AJ44">
        <v>0.47</v>
      </c>
      <c r="AK44">
        <v>225.02</v>
      </c>
      <c r="AL44">
        <v>145.02000000000001</v>
      </c>
      <c r="AM44">
        <v>599.15</v>
      </c>
      <c r="AN44">
        <v>84.18</v>
      </c>
      <c r="AO44">
        <v>20.14</v>
      </c>
      <c r="AP44">
        <v>6697.89</v>
      </c>
    </row>
    <row r="45" spans="1:42">
      <c r="A45"/>
      <c r="B45"/>
    </row>
    <row r="46" spans="1:42">
      <c r="A46" t="s">
        <v>108</v>
      </c>
      <c r="B46" t="s">
        <v>544</v>
      </c>
    </row>
    <row r="47" spans="1:42">
      <c r="A47" t="s">
        <v>15</v>
      </c>
      <c r="B47" s="4">
        <v>2024</v>
      </c>
    </row>
    <row r="48" spans="1:42">
      <c r="A48" s="3" t="s">
        <v>545</v>
      </c>
    </row>
    <row r="49" spans="1:2">
      <c r="A49" t="s">
        <v>99</v>
      </c>
      <c r="B49" t="s">
        <v>546</v>
      </c>
    </row>
    <row r="50" spans="1:2">
      <c r="A50" t="s">
        <v>46</v>
      </c>
      <c r="B50">
        <v>23.6</v>
      </c>
    </row>
    <row r="51" spans="1:2">
      <c r="A51" t="s">
        <v>151</v>
      </c>
      <c r="B51">
        <v>42.3</v>
      </c>
    </row>
    <row r="52" spans="1:2">
      <c r="A52" t="s">
        <v>174</v>
      </c>
      <c r="B52">
        <v>31.1</v>
      </c>
    </row>
    <row r="53" spans="1:2">
      <c r="A53" t="s">
        <v>172</v>
      </c>
      <c r="B53">
        <v>33.299999999999997</v>
      </c>
    </row>
    <row r="54" spans="1:2">
      <c r="A54" t="s">
        <v>132</v>
      </c>
      <c r="B54">
        <v>25.4</v>
      </c>
    </row>
    <row r="55" spans="1:2">
      <c r="A55" t="s">
        <v>189</v>
      </c>
      <c r="B55">
        <v>41.3</v>
      </c>
    </row>
    <row r="56" spans="1:2">
      <c r="A56" t="s">
        <v>198</v>
      </c>
      <c r="B56">
        <v>4.3</v>
      </c>
    </row>
    <row r="57" spans="1:2">
      <c r="A57" t="s">
        <v>195</v>
      </c>
      <c r="B57">
        <v>30</v>
      </c>
    </row>
    <row r="58" spans="1:2">
      <c r="A58" t="s">
        <v>119</v>
      </c>
      <c r="B58">
        <v>37</v>
      </c>
    </row>
    <row r="59" spans="1:2">
      <c r="A59" t="s">
        <v>201</v>
      </c>
      <c r="B59">
        <v>11.1</v>
      </c>
    </row>
    <row r="60" spans="1:2">
      <c r="A60" t="s">
        <v>76</v>
      </c>
      <c r="B60">
        <v>8.5</v>
      </c>
    </row>
    <row r="61" spans="1:2">
      <c r="A61" t="s">
        <v>191</v>
      </c>
      <c r="B61">
        <v>30.2</v>
      </c>
    </row>
    <row r="62" spans="1:2">
      <c r="A62" t="s">
        <v>197</v>
      </c>
      <c r="B62">
        <v>40.299999999999997</v>
      </c>
    </row>
    <row r="63" spans="1:2">
      <c r="A63" t="s">
        <v>153</v>
      </c>
      <c r="B63">
        <v>21.3</v>
      </c>
    </row>
    <row r="64" spans="1:2">
      <c r="A64" t="s">
        <v>139</v>
      </c>
      <c r="B64">
        <v>8.8000000000000007</v>
      </c>
    </row>
    <row r="65" spans="1:2">
      <c r="A65" t="s">
        <v>180</v>
      </c>
      <c r="B65">
        <v>38.1</v>
      </c>
    </row>
    <row r="66" spans="1:2">
      <c r="A66" t="s">
        <v>177</v>
      </c>
      <c r="B66">
        <v>29.9</v>
      </c>
    </row>
    <row r="67" spans="1:2">
      <c r="A67" t="s">
        <v>136</v>
      </c>
      <c r="B67">
        <v>27.5</v>
      </c>
    </row>
    <row r="68" spans="1:2">
      <c r="A68" t="s">
        <v>135</v>
      </c>
      <c r="B68">
        <v>26.4</v>
      </c>
    </row>
    <row r="69" spans="1:2">
      <c r="A69" t="s">
        <v>166</v>
      </c>
      <c r="B69">
        <v>34.4</v>
      </c>
    </row>
    <row r="70" spans="1:2">
      <c r="A70" t="s">
        <v>146</v>
      </c>
      <c r="B70">
        <v>28.4</v>
      </c>
    </row>
    <row r="71" spans="1:2">
      <c r="A71" t="s">
        <v>29</v>
      </c>
      <c r="B71">
        <v>59.5</v>
      </c>
    </row>
    <row r="72" spans="1:2">
      <c r="A72" t="s">
        <v>161</v>
      </c>
      <c r="B72">
        <v>21</v>
      </c>
    </row>
    <row r="73" spans="1:2">
      <c r="A73" t="s">
        <v>169</v>
      </c>
      <c r="B73">
        <v>26.2</v>
      </c>
    </row>
    <row r="74" spans="1:2">
      <c r="A74" t="s">
        <v>129</v>
      </c>
      <c r="B74">
        <v>31.1</v>
      </c>
    </row>
    <row r="75" spans="1:2">
      <c r="A75" t="s">
        <v>164</v>
      </c>
      <c r="B75">
        <v>21.9</v>
      </c>
    </row>
    <row r="76" spans="1:2">
      <c r="A76" t="s">
        <v>79</v>
      </c>
      <c r="B76">
        <v>5.9</v>
      </c>
    </row>
    <row r="77" spans="1:2">
      <c r="A77" t="s">
        <v>116</v>
      </c>
      <c r="B77">
        <v>41.8</v>
      </c>
    </row>
    <row r="78" spans="1:2">
      <c r="A78" t="s">
        <v>142</v>
      </c>
      <c r="B78">
        <v>26.8</v>
      </c>
    </row>
    <row r="79" spans="1:2">
      <c r="A79" t="s">
        <v>184</v>
      </c>
      <c r="B79">
        <v>15.4</v>
      </c>
    </row>
    <row r="80" spans="1:2">
      <c r="A80" t="s">
        <v>144</v>
      </c>
      <c r="B80">
        <v>28.8</v>
      </c>
    </row>
    <row r="81" spans="1:7">
      <c r="A81" t="s">
        <v>123</v>
      </c>
      <c r="B81">
        <v>37.299999999999997</v>
      </c>
    </row>
    <row r="82" spans="1:7">
      <c r="A82" t="s">
        <v>157</v>
      </c>
      <c r="B82">
        <v>22.1</v>
      </c>
    </row>
    <row r="83" spans="1:7">
      <c r="A83" t="s">
        <v>186</v>
      </c>
      <c r="B83">
        <v>36.9</v>
      </c>
    </row>
    <row r="84" spans="1:7">
      <c r="A84" t="s">
        <v>82</v>
      </c>
      <c r="B84">
        <v>11.7</v>
      </c>
    </row>
    <row r="85" spans="1:7">
      <c r="A85" t="s">
        <v>148</v>
      </c>
      <c r="B85">
        <v>42.6</v>
      </c>
    </row>
    <row r="86" spans="1:7">
      <c r="A86" t="s">
        <v>183</v>
      </c>
      <c r="B86">
        <v>21.2</v>
      </c>
    </row>
    <row r="87" spans="1:7">
      <c r="A87" t="s">
        <v>112</v>
      </c>
      <c r="B87">
        <v>41.3</v>
      </c>
    </row>
    <row r="88" spans="1:7">
      <c r="A88" t="s">
        <v>122</v>
      </c>
      <c r="B88">
        <v>35.9</v>
      </c>
    </row>
    <row r="89" spans="1:7">
      <c r="A89" t="s">
        <v>193</v>
      </c>
      <c r="B89">
        <v>31.6</v>
      </c>
    </row>
    <row r="90" spans="1:7">
      <c r="A90" t="s">
        <v>540</v>
      </c>
      <c r="B90">
        <v>28.305</v>
      </c>
    </row>
    <row r="94" spans="1:7">
      <c r="A94" s="3" t="s">
        <v>547</v>
      </c>
    </row>
    <row r="95" spans="1:7">
      <c r="A95" t="s">
        <v>548</v>
      </c>
      <c r="B95" t="s">
        <v>208</v>
      </c>
    </row>
    <row r="96" spans="1:7">
      <c r="A96" t="s">
        <v>15</v>
      </c>
      <c r="B96" t="s">
        <v>214</v>
      </c>
      <c r="C96" t="s">
        <v>365</v>
      </c>
      <c r="D96" t="s">
        <v>364</v>
      </c>
      <c r="E96" t="s">
        <v>369</v>
      </c>
      <c r="F96" t="s">
        <v>367</v>
      </c>
      <c r="G96" t="s">
        <v>540</v>
      </c>
    </row>
    <row r="97" spans="1:7">
      <c r="A97">
        <v>2014</v>
      </c>
      <c r="B97">
        <v>3.9408333333333299</v>
      </c>
      <c r="D97">
        <v>2.87</v>
      </c>
      <c r="G97">
        <v>3.4054166666666701</v>
      </c>
    </row>
    <row r="98" spans="1:7">
      <c r="A98">
        <v>2015</v>
      </c>
      <c r="B98">
        <v>2.9791666666666701</v>
      </c>
      <c r="D98">
        <v>2.2324999999999999</v>
      </c>
      <c r="G98">
        <v>2.6058333333333299</v>
      </c>
    </row>
    <row r="99" spans="1:7">
      <c r="A99">
        <v>2016</v>
      </c>
      <c r="B99">
        <v>3.1366666666666698</v>
      </c>
      <c r="D99">
        <v>2.6558333333333302</v>
      </c>
      <c r="G99">
        <v>2.8962500000000002</v>
      </c>
    </row>
    <row r="100" spans="1:7">
      <c r="A100">
        <v>2017</v>
      </c>
      <c r="B100">
        <v>5.4474999999999998</v>
      </c>
      <c r="D100">
        <v>4.4408333333333303</v>
      </c>
      <c r="G100">
        <v>4.9441666666666704</v>
      </c>
    </row>
    <row r="101" spans="1:7">
      <c r="A101">
        <v>2018</v>
      </c>
      <c r="B101">
        <v>7.7949999999999999</v>
      </c>
      <c r="D101">
        <v>4.8</v>
      </c>
      <c r="G101">
        <v>6.2975000000000003</v>
      </c>
    </row>
    <row r="102" spans="1:7">
      <c r="A102">
        <v>2019</v>
      </c>
      <c r="B102">
        <v>4.8833333333333302</v>
      </c>
      <c r="D102">
        <v>4.0333333333333297</v>
      </c>
      <c r="G102">
        <v>4.4583333333333304</v>
      </c>
    </row>
    <row r="103" spans="1:7">
      <c r="A103">
        <v>2020</v>
      </c>
      <c r="B103">
        <v>3.1016666666666701</v>
      </c>
      <c r="D103">
        <v>4.5091666666666699</v>
      </c>
      <c r="G103">
        <v>3.80541666666667</v>
      </c>
    </row>
    <row r="104" spans="1:7">
      <c r="A104">
        <v>2021</v>
      </c>
      <c r="B104">
        <v>3.6883333333333299</v>
      </c>
      <c r="D104">
        <v>4.8158333333333303</v>
      </c>
      <c r="G104">
        <v>4.2520833333333297</v>
      </c>
    </row>
    <row r="105" spans="1:7">
      <c r="A105">
        <v>2022</v>
      </c>
      <c r="B105">
        <v>3.21166666666667</v>
      </c>
      <c r="C105">
        <v>233.15333333333299</v>
      </c>
      <c r="D105">
        <v>4.3066666666666702</v>
      </c>
      <c r="G105">
        <v>80.223888888888894</v>
      </c>
    </row>
    <row r="106" spans="1:7">
      <c r="A106">
        <v>2023</v>
      </c>
      <c r="B106">
        <v>1.64916666666667</v>
      </c>
      <c r="C106">
        <v>359.58333333333297</v>
      </c>
      <c r="D106">
        <v>3.6183333333333301</v>
      </c>
      <c r="F106">
        <v>33730.366999999998</v>
      </c>
      <c r="G106">
        <v>7427.8669565217397</v>
      </c>
    </row>
    <row r="107" spans="1:7">
      <c r="A107">
        <v>2024</v>
      </c>
      <c r="B107">
        <v>2.0333333333333301</v>
      </c>
      <c r="C107">
        <v>592.70000000000005</v>
      </c>
      <c r="D107">
        <v>4.2141666666666699</v>
      </c>
      <c r="E107">
        <v>40206.559999999998</v>
      </c>
      <c r="F107">
        <v>28286.465</v>
      </c>
      <c r="G107">
        <v>9161.6594117647091</v>
      </c>
    </row>
    <row r="108" spans="1:7">
      <c r="A108">
        <v>2025</v>
      </c>
      <c r="B108">
        <v>1.96583333333333</v>
      </c>
      <c r="C108">
        <v>748.89499999999998</v>
      </c>
      <c r="D108">
        <v>4.12916666666667</v>
      </c>
      <c r="E108">
        <v>34074.76</v>
      </c>
      <c r="F108">
        <v>24477.73</v>
      </c>
      <c r="G108">
        <v>11861.495999999999</v>
      </c>
    </row>
    <row r="109" spans="1:7">
      <c r="A109">
        <v>2026</v>
      </c>
      <c r="B109">
        <v>2.16</v>
      </c>
      <c r="C109">
        <v>796.41499999999996</v>
      </c>
      <c r="D109">
        <v>4.0425000000000004</v>
      </c>
      <c r="E109">
        <v>31210.685000000001</v>
      </c>
      <c r="F109">
        <v>20303.22</v>
      </c>
      <c r="G109">
        <v>10463.3045</v>
      </c>
    </row>
    <row r="110" spans="1:7">
      <c r="A110" t="s">
        <v>540</v>
      </c>
      <c r="B110">
        <v>3.6123648648648699</v>
      </c>
      <c r="C110">
        <v>507.64692307692297</v>
      </c>
      <c r="D110">
        <v>3.88972972972973</v>
      </c>
      <c r="E110">
        <v>34439.975789473698</v>
      </c>
      <c r="F110">
        <v>27675.9707894737</v>
      </c>
      <c r="G110">
        <v>4280.3811851851897</v>
      </c>
    </row>
    <row r="111" spans="1:7">
      <c r="A111"/>
      <c r="B111"/>
    </row>
    <row r="112" spans="1:7">
      <c r="A112"/>
      <c r="B112"/>
    </row>
    <row r="113" spans="1:6">
      <c r="A113" t="s">
        <v>15</v>
      </c>
      <c r="B113" s="5">
        <v>2024</v>
      </c>
    </row>
    <row r="114" spans="1:6">
      <c r="A114" s="3" t="s">
        <v>549</v>
      </c>
    </row>
    <row r="115" spans="1:6">
      <c r="A115" t="s">
        <v>550</v>
      </c>
      <c r="B115" t="s">
        <v>520</v>
      </c>
    </row>
    <row r="116" spans="1:6">
      <c r="A116" t="s">
        <v>521</v>
      </c>
      <c r="B116" t="s">
        <v>551</v>
      </c>
      <c r="C116" t="s">
        <v>552</v>
      </c>
      <c r="D116" t="s">
        <v>553</v>
      </c>
      <c r="E116" t="s">
        <v>554</v>
      </c>
      <c r="F116" t="s">
        <v>540</v>
      </c>
    </row>
    <row r="117" spans="1:6">
      <c r="A117" t="s">
        <v>555</v>
      </c>
      <c r="B117">
        <v>360099</v>
      </c>
      <c r="E117">
        <v>129906</v>
      </c>
      <c r="F117">
        <v>490005</v>
      </c>
    </row>
    <row r="118" spans="1:6">
      <c r="A118" t="s">
        <v>556</v>
      </c>
      <c r="B118"/>
      <c r="D118">
        <v>211964</v>
      </c>
      <c r="E118">
        <v>48963</v>
      </c>
      <c r="F118">
        <v>260927</v>
      </c>
    </row>
    <row r="119" spans="1:6">
      <c r="A119" t="s">
        <v>557</v>
      </c>
      <c r="B119"/>
      <c r="D119">
        <v>45954</v>
      </c>
      <c r="E119">
        <v>0</v>
      </c>
      <c r="F119">
        <v>45954</v>
      </c>
    </row>
    <row r="120" spans="1:6">
      <c r="A120" t="s">
        <v>558</v>
      </c>
      <c r="B120">
        <v>0</v>
      </c>
      <c r="F120">
        <v>0</v>
      </c>
    </row>
    <row r="121" spans="1:6">
      <c r="A121" t="s">
        <v>559</v>
      </c>
      <c r="B121">
        <v>1609862</v>
      </c>
      <c r="C121">
        <v>138187</v>
      </c>
      <c r="F121">
        <v>1748049</v>
      </c>
    </row>
    <row r="122" spans="1:6">
      <c r="A122" t="s">
        <v>560</v>
      </c>
      <c r="B122">
        <v>540761</v>
      </c>
      <c r="C122">
        <v>226176</v>
      </c>
      <c r="E122">
        <v>307760</v>
      </c>
      <c r="F122">
        <v>1074697</v>
      </c>
    </row>
    <row r="123" spans="1:6">
      <c r="A123" t="s">
        <v>121</v>
      </c>
      <c r="B123">
        <v>545000</v>
      </c>
      <c r="C123">
        <v>0</v>
      </c>
      <c r="E123">
        <v>137548</v>
      </c>
      <c r="F123">
        <v>682548</v>
      </c>
    </row>
    <row r="124" spans="1:6">
      <c r="A124" t="s">
        <v>540</v>
      </c>
      <c r="B124">
        <v>3055722</v>
      </c>
      <c r="C124">
        <v>364363</v>
      </c>
      <c r="D124">
        <v>257918</v>
      </c>
      <c r="E124">
        <v>624177</v>
      </c>
      <c r="F124">
        <v>4302180</v>
      </c>
    </row>
    <row r="125" spans="1:6">
      <c r="A125"/>
      <c r="B125"/>
    </row>
    <row r="126" spans="1:6">
      <c r="A126"/>
      <c r="B126"/>
    </row>
    <row r="127" spans="1:6">
      <c r="A127"/>
      <c r="B127"/>
    </row>
    <row r="128" spans="1:6">
      <c r="A128" s="3" t="s">
        <v>561</v>
      </c>
      <c r="B128"/>
    </row>
    <row r="129" spans="1:4">
      <c r="A129" t="s">
        <v>385</v>
      </c>
      <c r="B129" t="s">
        <v>15</v>
      </c>
      <c r="C129" t="s">
        <v>562</v>
      </c>
      <c r="D129" t="s">
        <v>563</v>
      </c>
    </row>
    <row r="130" spans="1:4">
      <c r="A130" t="s">
        <v>564</v>
      </c>
      <c r="B130"/>
      <c r="C130">
        <v>133</v>
      </c>
      <c r="D130">
        <v>18</v>
      </c>
    </row>
    <row r="131" spans="1:4">
      <c r="A131"/>
      <c r="B131">
        <v>2021</v>
      </c>
      <c r="C131">
        <v>5</v>
      </c>
      <c r="D131">
        <v>1</v>
      </c>
    </row>
    <row r="132" spans="1:4">
      <c r="A132"/>
      <c r="B132">
        <v>2022</v>
      </c>
      <c r="C132">
        <v>36</v>
      </c>
      <c r="D132">
        <v>4</v>
      </c>
    </row>
    <row r="133" spans="1:4">
      <c r="A133"/>
      <c r="B133">
        <v>2023</v>
      </c>
      <c r="C133">
        <v>52</v>
      </c>
      <c r="D133">
        <v>7</v>
      </c>
    </row>
    <row r="134" spans="1:4">
      <c r="A134"/>
      <c r="B134">
        <v>2024</v>
      </c>
      <c r="C134">
        <v>40</v>
      </c>
      <c r="D134">
        <v>6</v>
      </c>
    </row>
    <row r="135" spans="1:4">
      <c r="A135" t="s">
        <v>565</v>
      </c>
      <c r="B135"/>
      <c r="C135">
        <v>41</v>
      </c>
      <c r="D135">
        <v>6</v>
      </c>
    </row>
    <row r="136" spans="1:4">
      <c r="A136"/>
      <c r="B136">
        <v>2018</v>
      </c>
      <c r="C136">
        <v>5</v>
      </c>
      <c r="D136">
        <v>1</v>
      </c>
    </row>
    <row r="137" spans="1:4">
      <c r="A137"/>
      <c r="B137">
        <v>2019</v>
      </c>
      <c r="C137">
        <v>12</v>
      </c>
      <c r="D137">
        <v>2</v>
      </c>
    </row>
    <row r="138" spans="1:4">
      <c r="A138"/>
      <c r="B138">
        <v>2020</v>
      </c>
      <c r="C138">
        <v>24</v>
      </c>
      <c r="D138">
        <v>3</v>
      </c>
    </row>
    <row r="139" spans="1:4">
      <c r="A139" t="s">
        <v>566</v>
      </c>
      <c r="B139"/>
      <c r="C139">
        <v>72</v>
      </c>
      <c r="D139">
        <v>10</v>
      </c>
    </row>
    <row r="140" spans="1:4">
      <c r="A140"/>
      <c r="B140">
        <v>2025</v>
      </c>
      <c r="C140">
        <v>48</v>
      </c>
      <c r="D140">
        <v>7</v>
      </c>
    </row>
    <row r="141" spans="1:4">
      <c r="A141"/>
      <c r="B141">
        <v>2026</v>
      </c>
      <c r="C141">
        <v>24</v>
      </c>
      <c r="D141">
        <v>3</v>
      </c>
    </row>
    <row r="142" spans="1:4">
      <c r="A142" t="s">
        <v>540</v>
      </c>
      <c r="B142"/>
      <c r="C142">
        <v>246</v>
      </c>
      <c r="D142">
        <v>34</v>
      </c>
    </row>
    <row r="143" spans="1:4">
      <c r="A143"/>
      <c r="B143"/>
    </row>
    <row r="144" spans="1:4">
      <c r="A144"/>
      <c r="B144"/>
    </row>
    <row r="145" spans="1:2">
      <c r="A145"/>
      <c r="B145"/>
    </row>
    <row r="146" spans="1:2">
      <c r="A146"/>
      <c r="B14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>
      <selection activeCell="L4" sqref="L4"/>
    </sheetView>
  </sheetViews>
  <sheetFormatPr defaultColWidth="8.88671875" defaultRowHeight="14.4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OBJECTIVE</vt:lpstr>
      <vt:lpstr>Dashboard</vt:lpstr>
      <vt:lpstr>RAW_AI</vt:lpstr>
      <vt:lpstr>RAW_Fin</vt:lpstr>
      <vt:lpstr>RAW_Price</vt:lpstr>
      <vt:lpstr>RAW_Export</vt:lpstr>
      <vt:lpstr>RAW_Fab</vt:lpstr>
      <vt:lpstr>CALC</vt:lpstr>
      <vt:lpstr>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2026-06-26T18:53:00Z</dcterms:created>
  <dcterms:modified xsi:type="dcterms:W3CDTF">2026-06-29T14:29:56Z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778AFFE176A84DF197E10CCCA4B5DF86_13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